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18761E5-02AA-4D12-9D80-7949B9680C37}" xr6:coauthVersionLast="47" xr6:coauthVersionMax="47" xr10:uidLastSave="{00000000-0000-0000-0000-000000000000}"/>
  <bookViews>
    <workbookView xWindow="-108" yWindow="-108" windowWidth="23256" windowHeight="12576" activeTab="4" xr2:uid="{6A5E9F66-33AE-4A8C-832F-2089628C6367}"/>
  </bookViews>
  <sheets>
    <sheet name="registre de press" sheetId="1" r:id="rId1"/>
    <sheet name="registre filtration" sheetId="2" r:id="rId2"/>
    <sheet name="registre melange" sheetId="4" r:id="rId3"/>
    <sheet name="mouvement" sheetId="3" r:id="rId4"/>
    <sheet name="registre de stock Produit finie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5" l="1"/>
  <c r="F22" i="5"/>
  <c r="G19" i="5"/>
  <c r="G18" i="5"/>
  <c r="I17" i="5"/>
  <c r="I18" i="5" s="1"/>
  <c r="G16" i="5"/>
  <c r="I15" i="5"/>
  <c r="I16" i="5" s="1"/>
  <c r="G15" i="5"/>
  <c r="I12" i="5"/>
  <c r="G13" i="5" s="1"/>
  <c r="I13" i="5" s="1"/>
  <c r="G14" i="5" s="1"/>
  <c r="I14" i="5" s="1"/>
  <c r="G11" i="5"/>
  <c r="I11" i="5" s="1"/>
  <c r="G10" i="5"/>
  <c r="I10" i="5" s="1"/>
  <c r="G9" i="5"/>
  <c r="I9" i="5" s="1"/>
  <c r="I8" i="5"/>
  <c r="G8" i="5"/>
  <c r="G7" i="5"/>
  <c r="I7" i="5" s="1"/>
  <c r="I20" i="5" s="1"/>
  <c r="G5" i="5"/>
  <c r="I4" i="5"/>
  <c r="I5" i="5" s="1"/>
  <c r="I6" i="5" s="1"/>
  <c r="G4" i="5"/>
  <c r="G3" i="5"/>
  <c r="I3" i="5" s="1"/>
  <c r="H23" i="4"/>
  <c r="Y19" i="4"/>
  <c r="X19" i="4"/>
  <c r="L19" i="4"/>
  <c r="I19" i="4"/>
  <c r="F19" i="4"/>
  <c r="T17" i="4"/>
  <c r="D13" i="4"/>
  <c r="Q12" i="4"/>
  <c r="U12" i="4" s="1"/>
  <c r="D12" i="4"/>
  <c r="D11" i="4"/>
  <c r="N11" i="4" s="1"/>
  <c r="P10" i="4"/>
  <c r="Q10" i="4" s="1"/>
  <c r="U10" i="4" s="1"/>
  <c r="D10" i="4"/>
  <c r="P9" i="4"/>
  <c r="Q9" i="4" s="1"/>
  <c r="U9" i="4" s="1"/>
  <c r="D9" i="4"/>
  <c r="P8" i="4"/>
  <c r="Q8" i="4" s="1"/>
  <c r="U8" i="4" s="1"/>
  <c r="D8" i="4"/>
  <c r="P7" i="4"/>
  <c r="Q7" i="4" s="1"/>
  <c r="U7" i="4" s="1"/>
  <c r="D7" i="4"/>
  <c r="Q6" i="4"/>
  <c r="U6" i="4" s="1"/>
  <c r="D6" i="4"/>
  <c r="P5" i="4"/>
  <c r="D5" i="4"/>
  <c r="Q4" i="4"/>
  <c r="D4" i="4"/>
  <c r="D19" i="4" s="1"/>
  <c r="F27" i="3"/>
  <c r="F26" i="3"/>
  <c r="L20" i="3"/>
  <c r="F9" i="3"/>
  <c r="F3" i="3"/>
  <c r="F23" i="2"/>
  <c r="F22" i="2"/>
  <c r="F26" i="5" l="1"/>
  <c r="I22" i="5"/>
  <c r="I23" i="5" s="1"/>
  <c r="Q11" i="4"/>
  <c r="U11" i="4" s="1"/>
  <c r="N19" i="4"/>
  <c r="N21" i="4" s="1"/>
  <c r="D21" i="4" s="1"/>
  <c r="P19" i="4"/>
  <c r="Q5" i="4"/>
  <c r="U5" i="4" s="1"/>
  <c r="Q19" i="4"/>
  <c r="U20" i="4" s="1"/>
  <c r="U4" i="4"/>
  <c r="U19" i="4"/>
</calcChain>
</file>

<file path=xl/sharedStrings.xml><?xml version="1.0" encoding="utf-8"?>
<sst xmlns="http://schemas.openxmlformats.org/spreadsheetml/2006/main" count="336" uniqueCount="173">
  <si>
    <t>N/L</t>
  </si>
  <si>
    <t>Date</t>
  </si>
  <si>
    <t>Num de lot Fournisseur</t>
  </si>
  <si>
    <t>Qte</t>
  </si>
  <si>
    <t>Num Outille</t>
  </si>
  <si>
    <t>Quantité Produite</t>
  </si>
  <si>
    <t>Num de lot Press</t>
  </si>
  <si>
    <t>01-2314-20231217H</t>
  </si>
  <si>
    <t>02-2314-20231218H</t>
  </si>
  <si>
    <t>GJ01/2023</t>
  </si>
  <si>
    <t>03-GJ01/2023-20231218H</t>
  </si>
  <si>
    <t>04-GJ01/2023-20231219H</t>
  </si>
  <si>
    <t>05-GJ01/2023-20231224H</t>
  </si>
  <si>
    <t>06-GJ01/2023-20231225H</t>
  </si>
  <si>
    <t>07-GJ01/2023-20231226H</t>
  </si>
  <si>
    <t>08-GJ01/2023-20240210H</t>
  </si>
  <si>
    <t>08-2313-20240210H</t>
  </si>
  <si>
    <t>09-2313-20240211H</t>
  </si>
  <si>
    <t>10-2313-20240217H</t>
  </si>
  <si>
    <t>11-2313-20240318H</t>
  </si>
  <si>
    <t>12-2313-20240319H</t>
  </si>
  <si>
    <t>13-2313-20240320H</t>
  </si>
  <si>
    <t>14-GJ01/2023-20240320H</t>
  </si>
  <si>
    <t>15-GJ01/2023-20240321H</t>
  </si>
  <si>
    <t>16-GJ01/2023-20240323H</t>
  </si>
  <si>
    <t>17-GJ01/2023-20240324H</t>
  </si>
  <si>
    <t>18-GJ01/2023-20240325H</t>
  </si>
  <si>
    <t>19-GJ01/2023-20240326H</t>
  </si>
  <si>
    <t>20-GJ01/2023-20240327H</t>
  </si>
  <si>
    <t>21-GJ01/2023-20240328H</t>
  </si>
  <si>
    <t>22-GJ01/2023-20240329H</t>
  </si>
  <si>
    <t>23-2312-20240331H</t>
  </si>
  <si>
    <t>24-2312-20240407H</t>
  </si>
  <si>
    <t>25-2312-20240427H</t>
  </si>
  <si>
    <t>26-2312-20240428H</t>
  </si>
  <si>
    <t>27-2312-20240505H</t>
  </si>
  <si>
    <t>28-2312-20240506H</t>
  </si>
  <si>
    <t>29-2312-20240702H</t>
  </si>
  <si>
    <r>
      <t>Filtration  (</t>
    </r>
    <r>
      <rPr>
        <sz val="11"/>
        <color rgb="FF000000"/>
        <rFont val="Calibri"/>
        <family val="2"/>
        <scheme val="minor"/>
      </rPr>
      <t>num lot filtré aura la meme péfixe de lot produit le changement se fait à la partie date</t>
    </r>
    <r>
      <rPr>
        <b/>
        <sz val="12"/>
        <color rgb="FF000000"/>
        <rFont val="Calibri"/>
        <family val="2"/>
        <scheme val="minor"/>
      </rPr>
      <t>)</t>
    </r>
  </si>
  <si>
    <t>Numéro</t>
  </si>
  <si>
    <t>Num de lot press</t>
  </si>
  <si>
    <t>Qantité initial</t>
  </si>
  <si>
    <t>filtre</t>
  </si>
  <si>
    <t>Quantité fini</t>
  </si>
  <si>
    <t>Num de lot filtré</t>
  </si>
  <si>
    <t>qte (ml)</t>
  </si>
  <si>
    <t>01-2312-20231217h</t>
  </si>
  <si>
    <t>ST60</t>
  </si>
  <si>
    <t>01-2312-20231217</t>
  </si>
  <si>
    <t>05-GJ01/2023-20231224</t>
  </si>
  <si>
    <t>15-GJ01/2023-20240321</t>
  </si>
  <si>
    <t>18-GJ01/2023-20240325</t>
  </si>
  <si>
    <t>23-2312-20240331</t>
  </si>
  <si>
    <t>24-2312-20240407</t>
  </si>
  <si>
    <t>25-2312-20240505H</t>
  </si>
  <si>
    <t>25-2312-20242704</t>
  </si>
  <si>
    <t>27-2312-20240505</t>
  </si>
  <si>
    <t>watman4</t>
  </si>
  <si>
    <t>28-2312-20240506</t>
  </si>
  <si>
    <t>29-2312-20240711</t>
  </si>
  <si>
    <t>02-2314-20231218h</t>
  </si>
  <si>
    <t>02-2314-20241009</t>
  </si>
  <si>
    <t>08-GJ01/2023-20241105</t>
  </si>
  <si>
    <t>08-2312-20240210H</t>
  </si>
  <si>
    <t>08-2312-20241105</t>
  </si>
  <si>
    <t>visite inspection 24/12/2024</t>
  </si>
  <si>
    <t>03-JG01/2023-20231218h</t>
  </si>
  <si>
    <t>03-JG01/2023-20251105</t>
  </si>
  <si>
    <t>08-GJ01/2023-20250122</t>
  </si>
  <si>
    <t>08-2313-20250123</t>
  </si>
  <si>
    <t>visite  23 05 2025</t>
  </si>
  <si>
    <t>visite  26 08 2025</t>
  </si>
  <si>
    <t>04-GJ01/2023-20251020</t>
  </si>
  <si>
    <t>09-2313-20251021</t>
  </si>
  <si>
    <t>11-2313-20251023</t>
  </si>
  <si>
    <t>19-GJ01/2023-20251026</t>
  </si>
  <si>
    <t>20-GJ01/2023-20251028</t>
  </si>
  <si>
    <t>10-2313-20251103</t>
  </si>
  <si>
    <t>06-GJ01/2023-20251105</t>
  </si>
  <si>
    <t>Mouvement de 07/08/2026</t>
  </si>
  <si>
    <t>N° Vente</t>
  </si>
  <si>
    <t>Date de vente</t>
  </si>
  <si>
    <t>Produit</t>
  </si>
  <si>
    <t>Lot / N° de production</t>
  </si>
  <si>
    <t>Quantité vendue</t>
  </si>
  <si>
    <t>Client</t>
  </si>
  <si>
    <t>Mode de paiement</t>
  </si>
  <si>
    <t>Destination / Livraison</t>
  </si>
  <si>
    <t>Observations</t>
  </si>
  <si>
    <t>Huile DFB</t>
  </si>
  <si>
    <t>021825  042505</t>
  </si>
  <si>
    <t>19*30=570
6*30=180</t>
  </si>
  <si>
    <t>Berntrard</t>
  </si>
  <si>
    <t>Espèces</t>
  </si>
  <si>
    <t>Djerba</t>
  </si>
  <si>
    <t>2*10=20</t>
  </si>
  <si>
    <t>Client particulier</t>
  </si>
  <si>
    <t>042505
050502</t>
  </si>
  <si>
    <t>22*30=660
3*30=90</t>
  </si>
  <si>
    <t>Gisel</t>
  </si>
  <si>
    <t>25*30=750</t>
  </si>
  <si>
    <t>louccy</t>
  </si>
  <si>
    <t>061803
050502
070324</t>
  </si>
  <si>
    <t>7*30=210
4*30=120
14*30=420</t>
  </si>
  <si>
    <t>Gosef</t>
  </si>
  <si>
    <t>6*30=180
2*10=20</t>
  </si>
  <si>
    <t>client Passage</t>
  </si>
  <si>
    <t>visite</t>
  </si>
  <si>
    <t>total</t>
  </si>
  <si>
    <t xml:space="preserve">     20* 10=200</t>
  </si>
  <si>
    <t>ben abdesslem</t>
  </si>
  <si>
    <t>30*10=300</t>
  </si>
  <si>
    <t>artisanet</t>
  </si>
  <si>
    <t>omran khaled</t>
  </si>
  <si>
    <t xml:space="preserve"> 21*10=210</t>
  </si>
  <si>
    <t>50*10=500</t>
  </si>
  <si>
    <t>21*10=210</t>
  </si>
  <si>
    <t>Relax and spay</t>
  </si>
  <si>
    <t>20*10=200</t>
  </si>
  <si>
    <t>biojerba</t>
  </si>
  <si>
    <t>13*10=130</t>
  </si>
  <si>
    <t>3*30=90
3*10=30</t>
  </si>
  <si>
    <t>client</t>
  </si>
  <si>
    <t>4*30=120
4*10=40</t>
  </si>
  <si>
    <t>bernard</t>
  </si>
  <si>
    <t>3*30=90
1*10=10</t>
  </si>
  <si>
    <t>30*6</t>
  </si>
  <si>
    <t>artizanet</t>
  </si>
  <si>
    <t>10*19</t>
  </si>
  <si>
    <t>30*1</t>
  </si>
  <si>
    <t>client passaget</t>
  </si>
  <si>
    <t>10*2</t>
  </si>
  <si>
    <t>30*26</t>
  </si>
  <si>
    <t>passaget claude</t>
  </si>
  <si>
    <t>10*59</t>
  </si>
  <si>
    <t>Registre des lots fini( melange lot)</t>
  </si>
  <si>
    <t>Sortie apres  visite 24/12/2024</t>
  </si>
  <si>
    <t>stock  avant visite /Lot</t>
  </si>
  <si>
    <t>sortie  apre visite 23/05</t>
  </si>
  <si>
    <t>stock /Lot
26/08/2025</t>
  </si>
  <si>
    <t>sortie apres visite 26/08/2025</t>
  </si>
  <si>
    <t>stock 22-03-2026</t>
  </si>
  <si>
    <t>sortie apres visite 22/03/2026</t>
  </si>
  <si>
    <t>stock 11-08-2026</t>
  </si>
  <si>
    <t>Num</t>
  </si>
  <si>
    <t>N° Lot fini</t>
  </si>
  <si>
    <t>N° lot Prod 1</t>
  </si>
  <si>
    <t>N° lot Prod 2</t>
  </si>
  <si>
    <t xml:space="preserve">N° Lot </t>
  </si>
  <si>
    <t>QTE</t>
  </si>
  <si>
    <t>QTE rest</t>
  </si>
  <si>
    <t>23-2312-20240331h</t>
  </si>
  <si>
    <t>18-jG01/23-20240325h</t>
  </si>
  <si>
    <t>25-2312-20240427h</t>
  </si>
  <si>
    <t>08-GJ01/2320240210</t>
  </si>
  <si>
    <t>08-231320240210h</t>
  </si>
  <si>
    <t>total initial</t>
  </si>
  <si>
    <t>&lt;</t>
  </si>
  <si>
    <t>Stock melange Actuelle</t>
  </si>
  <si>
    <t>Stock</t>
  </si>
  <si>
    <t>total huile =huile non filtre +huile filtre</t>
  </si>
  <si>
    <t>Registre de Stock Produit Finie</t>
  </si>
  <si>
    <t xml:space="preserve">Produit </t>
  </si>
  <si>
    <t>Num de lot Matière fini</t>
  </si>
  <si>
    <t>Date d’expiration</t>
  </si>
  <si>
    <t>Unite (ml)</t>
  </si>
  <si>
    <t>NBR Unitté</t>
  </si>
  <si>
    <t xml:space="preserve">Quantité </t>
  </si>
  <si>
    <t>Quantité restant</t>
  </si>
  <si>
    <t>Responsable</t>
  </si>
  <si>
    <t>HFB</t>
  </si>
  <si>
    <t>2 pert</t>
  </si>
  <si>
    <t xml:space="preserve"> 05 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</si>
</sst>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#####"/>
    <numFmt numFmtId="166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388600"/>
      <name val="Calibri"/>
      <family val="2"/>
      <scheme val="minor"/>
    </font>
    <font>
      <sz val="11"/>
      <color rgb="FF388600"/>
      <name val="Calibri"/>
      <family val="2"/>
      <scheme val="minor"/>
    </font>
    <font>
      <b/>
      <sz val="11"/>
      <color rgb="FF3886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189F7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3" fillId="2" borderId="1" xfId="0" applyFont="1" applyFill="1" applyBorder="1" applyAlignment="1">
      <alignment vertical="center" wrapText="1"/>
    </xf>
    <xf numFmtId="1" fontId="0" fillId="0" borderId="2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14" fontId="6" fillId="4" borderId="12" xfId="0" applyNumberFormat="1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14" fontId="4" fillId="4" borderId="12" xfId="0" applyNumberFormat="1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14" fontId="4" fillId="5" borderId="12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64" fontId="2" fillId="7" borderId="16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 wrapText="1"/>
    </xf>
    <xf numFmtId="14" fontId="0" fillId="8" borderId="12" xfId="0" applyNumberForma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14" fontId="0" fillId="0" borderId="12" xfId="0" applyNumberFormat="1" applyBorder="1"/>
    <xf numFmtId="0" fontId="0" fillId="0" borderId="12" xfId="0" applyBorder="1"/>
    <xf numFmtId="14" fontId="0" fillId="9" borderId="12" xfId="0" applyNumberFormat="1" applyFill="1" applyBorder="1"/>
    <xf numFmtId="0" fontId="0" fillId="9" borderId="12" xfId="0" applyFill="1" applyBorder="1"/>
    <xf numFmtId="165" fontId="0" fillId="9" borderId="12" xfId="0" applyNumberForma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/>
    </xf>
    <xf numFmtId="14" fontId="0" fillId="10" borderId="12" xfId="0" applyNumberFormat="1" applyFill="1" applyBorder="1"/>
    <xf numFmtId="0" fontId="0" fillId="10" borderId="12" xfId="0" applyFill="1" applyBorder="1"/>
    <xf numFmtId="165" fontId="0" fillId="10" borderId="12" xfId="0" applyNumberFormat="1" applyFill="1" applyBorder="1" applyAlignment="1">
      <alignment horizontal="center" vertical="center" wrapText="1"/>
    </xf>
    <xf numFmtId="0" fontId="0" fillId="10" borderId="12" xfId="0" applyFill="1" applyBorder="1" applyAlignment="1">
      <alignment wrapText="1"/>
    </xf>
    <xf numFmtId="0" fontId="0" fillId="10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11" borderId="12" xfId="0" applyNumberFormat="1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165" fontId="0" fillId="11" borderId="12" xfId="0" applyNumberFormat="1" applyFill="1" applyBorder="1" applyAlignment="1">
      <alignment horizontal="center" vertical="center" wrapText="1"/>
    </xf>
    <xf numFmtId="166" fontId="0" fillId="5" borderId="12" xfId="0" applyNumberForma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43" fontId="2" fillId="0" borderId="23" xfId="1" applyFont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43" fontId="2" fillId="0" borderId="16" xfId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14" fontId="11" fillId="0" borderId="25" xfId="0" applyNumberFormat="1" applyFon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12" borderId="12" xfId="0" applyFill="1" applyBorder="1" applyAlignment="1">
      <alignment horizontal="center" vertical="center"/>
    </xf>
    <xf numFmtId="14" fontId="12" fillId="0" borderId="12" xfId="0" applyNumberFormat="1" applyFont="1" applyBorder="1"/>
    <xf numFmtId="0" fontId="12" fillId="0" borderId="12" xfId="0" applyFont="1" applyBorder="1"/>
    <xf numFmtId="0" fontId="11" fillId="8" borderId="24" xfId="0" applyFont="1" applyFill="1" applyBorder="1" applyAlignment="1">
      <alignment horizontal="center" vertical="center" wrapText="1"/>
    </xf>
    <xf numFmtId="14" fontId="11" fillId="8" borderId="25" xfId="0" applyNumberFormat="1" applyFont="1" applyFill="1" applyBorder="1" applyAlignment="1">
      <alignment horizontal="center" vertical="center" wrapText="1"/>
    </xf>
    <xf numFmtId="165" fontId="0" fillId="8" borderId="6" xfId="0" applyNumberForma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left" vertical="center" wrapText="1"/>
    </xf>
    <xf numFmtId="0" fontId="11" fillId="8" borderId="25" xfId="0" applyFont="1" applyFill="1" applyBorder="1" applyAlignment="1">
      <alignment horizontal="left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shrinkToFit="1"/>
    </xf>
    <xf numFmtId="0" fontId="11" fillId="8" borderId="0" xfId="0" applyFont="1" applyFill="1" applyAlignment="1">
      <alignment horizontal="center" vertical="center" wrapText="1"/>
    </xf>
    <xf numFmtId="14" fontId="12" fillId="8" borderId="12" xfId="0" applyNumberFormat="1" applyFont="1" applyFill="1" applyBorder="1"/>
    <xf numFmtId="0" fontId="0" fillId="8" borderId="12" xfId="0" applyFill="1" applyBorder="1"/>
    <xf numFmtId="0" fontId="0" fillId="8" borderId="0" xfId="0" applyFill="1"/>
    <xf numFmtId="0" fontId="0" fillId="8" borderId="12" xfId="0" applyFill="1" applyBorder="1" applyAlignment="1">
      <alignment horizontal="center" vertical="center"/>
    </xf>
    <xf numFmtId="0" fontId="5" fillId="4" borderId="12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165" fontId="0" fillId="0" borderId="29" xfId="0" applyNumberForma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5" borderId="12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" fillId="13" borderId="32" xfId="0" applyFont="1" applyFill="1" applyBorder="1" applyAlignment="1">
      <alignment horizontal="center" vertical="center" wrapText="1"/>
    </xf>
    <xf numFmtId="164" fontId="13" fillId="13" borderId="33" xfId="0" applyNumberFormat="1" applyFont="1" applyFill="1" applyBorder="1" applyAlignment="1">
      <alignment horizontal="center" vertical="center"/>
    </xf>
    <xf numFmtId="164" fontId="13" fillId="13" borderId="0" xfId="0" applyNumberFormat="1" applyFont="1" applyFill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14" fontId="0" fillId="14" borderId="37" xfId="0" applyNumberFormat="1" applyFill="1" applyBorder="1" applyAlignment="1">
      <alignment horizontal="center" vertical="center" wrapText="1"/>
    </xf>
    <xf numFmtId="0" fontId="0" fillId="14" borderId="38" xfId="0" applyFill="1" applyBorder="1" applyAlignment="1">
      <alignment horizontal="center" vertical="center" wrapText="1"/>
    </xf>
    <xf numFmtId="165" fontId="0" fillId="14" borderId="38" xfId="0" applyNumberFormat="1" applyFill="1" applyBorder="1" applyAlignment="1">
      <alignment horizontal="center" vertical="center" wrapText="1"/>
    </xf>
    <xf numFmtId="0" fontId="0" fillId="14" borderId="39" xfId="0" applyFill="1" applyBorder="1" applyAlignment="1">
      <alignment horizontal="center" vertical="center" wrapText="1"/>
    </xf>
    <xf numFmtId="14" fontId="0" fillId="11" borderId="40" xfId="0" applyNumberForma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165" fontId="0" fillId="11" borderId="6" xfId="0" applyNumberFormat="1" applyFill="1" applyBorder="1" applyAlignment="1">
      <alignment horizontal="center" vertical="center" wrapText="1"/>
    </xf>
    <xf numFmtId="0" fontId="0" fillId="11" borderId="38" xfId="0" applyFill="1" applyBorder="1" applyAlignment="1">
      <alignment horizontal="center" vertical="center" wrapText="1"/>
    </xf>
    <xf numFmtId="0" fontId="0" fillId="11" borderId="41" xfId="0" applyFill="1" applyBorder="1" applyAlignment="1">
      <alignment horizontal="center" vertical="center" wrapText="1"/>
    </xf>
    <xf numFmtId="14" fontId="0" fillId="12" borderId="40" xfId="0" applyNumberFormat="1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165" fontId="0" fillId="12" borderId="6" xfId="0" applyNumberFormat="1" applyFill="1" applyBorder="1" applyAlignment="1">
      <alignment horizontal="center" vertical="center" wrapText="1"/>
    </xf>
    <xf numFmtId="0" fontId="0" fillId="12" borderId="38" xfId="0" applyFill="1" applyBorder="1" applyAlignment="1">
      <alignment horizontal="center" vertical="center" wrapText="1"/>
    </xf>
    <xf numFmtId="0" fontId="0" fillId="12" borderId="41" xfId="0" applyFill="1" applyBorder="1" applyAlignment="1">
      <alignment horizontal="center" vertical="center" wrapText="1"/>
    </xf>
    <xf numFmtId="14" fontId="0" fillId="10" borderId="40" xfId="0" applyNumberFormat="1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165" fontId="0" fillId="10" borderId="6" xfId="0" applyNumberFormat="1" applyFill="1" applyBorder="1" applyAlignment="1">
      <alignment horizontal="center" vertical="center" wrapText="1"/>
    </xf>
    <xf numFmtId="0" fontId="0" fillId="10" borderId="38" xfId="0" applyFill="1" applyBorder="1" applyAlignment="1">
      <alignment horizontal="center" vertical="center" wrapText="1"/>
    </xf>
    <xf numFmtId="0" fontId="0" fillId="10" borderId="41" xfId="0" applyFill="1" applyBorder="1" applyAlignment="1">
      <alignment horizontal="center" vertical="center" wrapText="1"/>
    </xf>
    <xf numFmtId="14" fontId="0" fillId="14" borderId="40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165" fontId="0" fillId="14" borderId="6" xfId="0" applyNumberFormat="1" applyFill="1" applyBorder="1" applyAlignment="1">
      <alignment horizontal="center" vertical="center" wrapText="1"/>
    </xf>
    <xf numFmtId="0" fontId="0" fillId="14" borderId="41" xfId="0" applyFill="1" applyBorder="1" applyAlignment="1">
      <alignment horizontal="center" vertical="center" wrapText="1"/>
    </xf>
    <xf numFmtId="0" fontId="0" fillId="10" borderId="42" xfId="0" applyFill="1" applyBorder="1" applyAlignment="1">
      <alignment horizontal="center" vertical="center" wrapText="1"/>
    </xf>
    <xf numFmtId="0" fontId="0" fillId="10" borderId="4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11" fillId="11" borderId="4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5" fontId="0" fillId="11" borderId="44" xfId="0" applyNumberFormat="1" applyFill="1" applyBorder="1" applyAlignment="1">
      <alignment horizontal="center" vertical="center" wrapText="1"/>
    </xf>
    <xf numFmtId="165" fontId="0" fillId="11" borderId="3" xfId="0" applyNumberFormat="1" applyFill="1" applyBorder="1" applyAlignment="1">
      <alignment horizontal="center" vertical="center" wrapText="1"/>
    </xf>
    <xf numFmtId="165" fontId="0" fillId="14" borderId="3" xfId="0" applyNumberFormat="1" applyFill="1" applyBorder="1" applyAlignment="1">
      <alignment horizontal="center" vertical="center" wrapText="1"/>
    </xf>
    <xf numFmtId="165" fontId="0" fillId="11" borderId="45" xfId="0" applyNumberFormat="1" applyFill="1" applyBorder="1" applyAlignment="1">
      <alignment horizontal="center" vertical="center" wrapText="1"/>
    </xf>
    <xf numFmtId="14" fontId="0" fillId="7" borderId="40" xfId="0" applyNumberFormat="1" applyFill="1" applyBorder="1" applyAlignment="1">
      <alignment horizontal="center" vertical="center" wrapText="1"/>
    </xf>
    <xf numFmtId="165" fontId="0" fillId="7" borderId="6" xfId="0" applyNumberForma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165" fontId="0" fillId="7" borderId="3" xfId="0" applyNumberFormat="1" applyFill="1" applyBorder="1" applyAlignment="1">
      <alignment horizontal="center" vertical="center" wrapText="1"/>
    </xf>
    <xf numFmtId="165" fontId="0" fillId="7" borderId="45" xfId="0" applyNumberFormat="1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165" fontId="0" fillId="7" borderId="29" xfId="0" applyNumberFormat="1" applyFill="1" applyBorder="1" applyAlignment="1">
      <alignment horizontal="center" vertical="center" wrapText="1"/>
    </xf>
    <xf numFmtId="165" fontId="0" fillId="7" borderId="46" xfId="0" applyNumberFormat="1" applyFill="1" applyBorder="1" applyAlignment="1">
      <alignment horizontal="center" vertical="center" wrapText="1"/>
    </xf>
    <xf numFmtId="165" fontId="0" fillId="7" borderId="47" xfId="0" applyNumberFormat="1" applyFill="1" applyBorder="1" applyAlignment="1">
      <alignment horizontal="center" vertical="center" wrapText="1"/>
    </xf>
    <xf numFmtId="166" fontId="0" fillId="5" borderId="48" xfId="0" applyNumberFormat="1" applyFill="1" applyBorder="1" applyAlignment="1">
      <alignment horizontal="center" vertical="center" wrapText="1"/>
    </xf>
    <xf numFmtId="0" fontId="0" fillId="5" borderId="48" xfId="0" applyFill="1" applyBorder="1" applyAlignment="1">
      <alignment horizontal="center" vertical="center" wrapText="1"/>
    </xf>
    <xf numFmtId="0" fontId="0" fillId="5" borderId="48" xfId="0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D8C2-B5B3-4F73-BEFF-17BB7A7D5084}">
  <dimension ref="A1:G31"/>
  <sheetViews>
    <sheetView workbookViewId="0">
      <selection activeCell="D1" sqref="D1"/>
    </sheetView>
  </sheetViews>
  <sheetFormatPr baseColWidth="10" defaultRowHeight="14.4" x14ac:dyDescent="0.3"/>
  <sheetData>
    <row r="1" spans="1:7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.2" x14ac:dyDescent="0.3">
      <c r="A2" s="2">
        <v>1</v>
      </c>
      <c r="B2" s="3">
        <v>45277</v>
      </c>
      <c r="C2" s="4">
        <v>2314</v>
      </c>
      <c r="D2" s="4">
        <v>32</v>
      </c>
      <c r="E2" s="5">
        <v>15</v>
      </c>
      <c r="F2" s="5">
        <v>1</v>
      </c>
      <c r="G2" s="6" t="s">
        <v>7</v>
      </c>
    </row>
    <row r="3" spans="1:7" ht="31.2" x14ac:dyDescent="0.3">
      <c r="A3" s="7">
        <v>2</v>
      </c>
      <c r="B3" s="8">
        <v>45278</v>
      </c>
      <c r="C3" s="9">
        <v>2314</v>
      </c>
      <c r="D3" s="9">
        <v>18</v>
      </c>
      <c r="E3" s="10">
        <v>15</v>
      </c>
      <c r="F3" s="10">
        <v>0.6</v>
      </c>
      <c r="G3" s="11" t="s">
        <v>8</v>
      </c>
    </row>
    <row r="4" spans="1:7" ht="46.8" x14ac:dyDescent="0.3">
      <c r="A4" s="7">
        <v>3</v>
      </c>
      <c r="B4" s="8">
        <v>45278</v>
      </c>
      <c r="C4" s="9" t="s">
        <v>9</v>
      </c>
      <c r="D4" s="9">
        <v>12</v>
      </c>
      <c r="E4" s="10">
        <v>15</v>
      </c>
      <c r="F4" s="10">
        <v>0.4</v>
      </c>
      <c r="G4" s="11" t="s">
        <v>10</v>
      </c>
    </row>
    <row r="5" spans="1:7" ht="46.8" x14ac:dyDescent="0.3">
      <c r="A5" s="7">
        <v>4</v>
      </c>
      <c r="B5" s="8">
        <v>45279</v>
      </c>
      <c r="C5" s="9" t="s">
        <v>9</v>
      </c>
      <c r="D5" s="9">
        <v>32</v>
      </c>
      <c r="E5" s="10">
        <v>15</v>
      </c>
      <c r="F5" s="10">
        <v>1</v>
      </c>
      <c r="G5" s="11" t="s">
        <v>11</v>
      </c>
    </row>
    <row r="6" spans="1:7" ht="46.8" x14ac:dyDescent="0.3">
      <c r="A6" s="7">
        <v>5</v>
      </c>
      <c r="B6" s="8">
        <v>45284</v>
      </c>
      <c r="C6" s="9" t="s">
        <v>9</v>
      </c>
      <c r="D6" s="9">
        <v>31</v>
      </c>
      <c r="E6" s="10">
        <v>12</v>
      </c>
      <c r="F6" s="10">
        <v>1</v>
      </c>
      <c r="G6" s="11" t="s">
        <v>12</v>
      </c>
    </row>
    <row r="7" spans="1:7" ht="46.8" x14ac:dyDescent="0.3">
      <c r="A7" s="7">
        <v>6</v>
      </c>
      <c r="B7" s="8">
        <v>45285</v>
      </c>
      <c r="C7" s="9" t="s">
        <v>9</v>
      </c>
      <c r="D7" s="9">
        <v>25</v>
      </c>
      <c r="E7" s="10">
        <v>12</v>
      </c>
      <c r="F7" s="10">
        <v>0.75</v>
      </c>
      <c r="G7" s="11" t="s">
        <v>13</v>
      </c>
    </row>
    <row r="8" spans="1:7" ht="46.8" x14ac:dyDescent="0.3">
      <c r="A8" s="7">
        <v>7</v>
      </c>
      <c r="B8" s="8">
        <v>45286</v>
      </c>
      <c r="C8" s="9" t="s">
        <v>9</v>
      </c>
      <c r="D8" s="9">
        <v>30</v>
      </c>
      <c r="E8" s="10">
        <v>12</v>
      </c>
      <c r="F8" s="10">
        <v>1</v>
      </c>
      <c r="G8" s="11" t="s">
        <v>14</v>
      </c>
    </row>
    <row r="9" spans="1:7" ht="46.8" x14ac:dyDescent="0.3">
      <c r="A9" s="7">
        <v>8</v>
      </c>
      <c r="B9" s="8">
        <v>45332</v>
      </c>
      <c r="C9" s="9" t="s">
        <v>9</v>
      </c>
      <c r="D9" s="9">
        <v>7.8</v>
      </c>
      <c r="E9" s="10">
        <v>12</v>
      </c>
      <c r="F9" s="10">
        <v>0.28999999999999998</v>
      </c>
      <c r="G9" s="11" t="s">
        <v>15</v>
      </c>
    </row>
    <row r="10" spans="1:7" ht="31.2" x14ac:dyDescent="0.3">
      <c r="A10" s="7">
        <v>9</v>
      </c>
      <c r="B10" s="8">
        <v>45332</v>
      </c>
      <c r="C10" s="9">
        <v>2313</v>
      </c>
      <c r="D10" s="9">
        <v>22.2</v>
      </c>
      <c r="E10" s="10">
        <v>12</v>
      </c>
      <c r="F10" s="10">
        <v>0.72</v>
      </c>
      <c r="G10" s="11" t="s">
        <v>16</v>
      </c>
    </row>
    <row r="11" spans="1:7" ht="31.2" x14ac:dyDescent="0.3">
      <c r="A11" s="7">
        <v>10</v>
      </c>
      <c r="B11" s="8">
        <v>45333</v>
      </c>
      <c r="C11" s="9">
        <v>2313</v>
      </c>
      <c r="D11" s="9">
        <v>30</v>
      </c>
      <c r="E11" s="10">
        <v>12</v>
      </c>
      <c r="F11" s="10">
        <v>1.0900000000000001</v>
      </c>
      <c r="G11" s="11" t="s">
        <v>17</v>
      </c>
    </row>
    <row r="12" spans="1:7" ht="31.2" x14ac:dyDescent="0.3">
      <c r="A12" s="7">
        <v>11</v>
      </c>
      <c r="B12" s="8">
        <v>45339</v>
      </c>
      <c r="C12" s="9">
        <v>2313</v>
      </c>
      <c r="D12" s="9">
        <v>30</v>
      </c>
      <c r="E12" s="10">
        <v>12</v>
      </c>
      <c r="F12" s="10">
        <v>1.0900000000000001</v>
      </c>
      <c r="G12" s="11" t="s">
        <v>18</v>
      </c>
    </row>
    <row r="13" spans="1:7" ht="31.2" x14ac:dyDescent="0.3">
      <c r="A13" s="7">
        <v>12</v>
      </c>
      <c r="B13" s="8">
        <v>45340</v>
      </c>
      <c r="C13" s="9">
        <v>2313</v>
      </c>
      <c r="D13" s="9">
        <v>30</v>
      </c>
      <c r="E13" s="10">
        <v>12</v>
      </c>
      <c r="F13" s="10">
        <v>1</v>
      </c>
      <c r="G13" s="11" t="s">
        <v>19</v>
      </c>
    </row>
    <row r="14" spans="1:7" ht="31.2" x14ac:dyDescent="0.3">
      <c r="A14" s="7">
        <v>13</v>
      </c>
      <c r="B14" s="12">
        <v>45370</v>
      </c>
      <c r="C14" s="13">
        <v>2313</v>
      </c>
      <c r="D14" s="13">
        <v>30</v>
      </c>
      <c r="E14" s="10">
        <v>12</v>
      </c>
      <c r="F14" s="10">
        <v>1</v>
      </c>
      <c r="G14" s="11" t="s">
        <v>20</v>
      </c>
    </row>
    <row r="15" spans="1:7" ht="31.2" x14ac:dyDescent="0.3">
      <c r="A15" s="7">
        <v>14</v>
      </c>
      <c r="B15" s="12">
        <v>45371</v>
      </c>
      <c r="C15" s="13">
        <v>2313</v>
      </c>
      <c r="D15" s="13">
        <v>7.8</v>
      </c>
      <c r="E15" s="10">
        <v>12</v>
      </c>
      <c r="F15" s="10">
        <v>0.3</v>
      </c>
      <c r="G15" s="11" t="s">
        <v>21</v>
      </c>
    </row>
    <row r="16" spans="1:7" ht="46.8" x14ac:dyDescent="0.3">
      <c r="A16" s="7">
        <v>15</v>
      </c>
      <c r="B16" s="12">
        <v>45371</v>
      </c>
      <c r="C16" s="13" t="s">
        <v>9</v>
      </c>
      <c r="D16" s="13">
        <v>21</v>
      </c>
      <c r="E16" s="10">
        <v>12</v>
      </c>
      <c r="F16" s="10">
        <v>0.7</v>
      </c>
      <c r="G16" s="11" t="s">
        <v>22</v>
      </c>
    </row>
    <row r="17" spans="1:7" ht="46.8" x14ac:dyDescent="0.3">
      <c r="A17" s="7">
        <v>16</v>
      </c>
      <c r="B17" s="12">
        <v>45372</v>
      </c>
      <c r="C17" s="13" t="s">
        <v>9</v>
      </c>
      <c r="D17" s="13">
        <v>30</v>
      </c>
      <c r="E17" s="10">
        <v>12</v>
      </c>
      <c r="F17" s="10">
        <v>1</v>
      </c>
      <c r="G17" s="11" t="s">
        <v>23</v>
      </c>
    </row>
    <row r="18" spans="1:7" ht="46.8" x14ac:dyDescent="0.3">
      <c r="A18" s="7">
        <v>17</v>
      </c>
      <c r="B18" s="12">
        <v>45374</v>
      </c>
      <c r="C18" s="13" t="s">
        <v>9</v>
      </c>
      <c r="D18" s="13">
        <v>30</v>
      </c>
      <c r="E18" s="10">
        <v>12</v>
      </c>
      <c r="F18" s="10">
        <v>1</v>
      </c>
      <c r="G18" s="11" t="s">
        <v>24</v>
      </c>
    </row>
    <row r="19" spans="1:7" ht="46.8" x14ac:dyDescent="0.3">
      <c r="A19" s="7">
        <v>18</v>
      </c>
      <c r="B19" s="12">
        <v>45375</v>
      </c>
      <c r="C19" s="13" t="s">
        <v>9</v>
      </c>
      <c r="D19" s="13">
        <v>30</v>
      </c>
      <c r="E19" s="10">
        <v>12</v>
      </c>
      <c r="F19" s="10">
        <v>1</v>
      </c>
      <c r="G19" s="11" t="s">
        <v>25</v>
      </c>
    </row>
    <row r="20" spans="1:7" ht="46.8" x14ac:dyDescent="0.3">
      <c r="A20" s="7">
        <v>19</v>
      </c>
      <c r="B20" s="12">
        <v>45376</v>
      </c>
      <c r="C20" s="13" t="s">
        <v>9</v>
      </c>
      <c r="D20" s="13">
        <v>30</v>
      </c>
      <c r="E20" s="10">
        <v>12</v>
      </c>
      <c r="F20" s="10">
        <v>1</v>
      </c>
      <c r="G20" s="11" t="s">
        <v>26</v>
      </c>
    </row>
    <row r="21" spans="1:7" ht="46.8" x14ac:dyDescent="0.3">
      <c r="A21" s="7">
        <v>20</v>
      </c>
      <c r="B21" s="12">
        <v>45377</v>
      </c>
      <c r="C21" s="13" t="s">
        <v>9</v>
      </c>
      <c r="D21" s="13">
        <v>30</v>
      </c>
      <c r="E21" s="10">
        <v>12</v>
      </c>
      <c r="F21" s="10">
        <v>1</v>
      </c>
      <c r="G21" s="11" t="s">
        <v>27</v>
      </c>
    </row>
    <row r="22" spans="1:7" ht="46.8" x14ac:dyDescent="0.3">
      <c r="A22" s="7">
        <v>21</v>
      </c>
      <c r="B22" s="12">
        <v>45378</v>
      </c>
      <c r="C22" s="13" t="s">
        <v>9</v>
      </c>
      <c r="D22" s="13">
        <v>30</v>
      </c>
      <c r="E22" s="10">
        <v>12</v>
      </c>
      <c r="F22" s="10">
        <v>1.08</v>
      </c>
      <c r="G22" s="11" t="s">
        <v>28</v>
      </c>
    </row>
    <row r="23" spans="1:7" ht="46.8" x14ac:dyDescent="0.3">
      <c r="A23" s="7">
        <v>22</v>
      </c>
      <c r="B23" s="12">
        <v>45379</v>
      </c>
      <c r="C23" s="13" t="s">
        <v>9</v>
      </c>
      <c r="D23" s="13">
        <v>30</v>
      </c>
      <c r="E23" s="10">
        <v>12</v>
      </c>
      <c r="F23" s="10">
        <v>1.04</v>
      </c>
      <c r="G23" s="11" t="s">
        <v>29</v>
      </c>
    </row>
    <row r="24" spans="1:7" ht="46.8" x14ac:dyDescent="0.3">
      <c r="A24" s="7">
        <v>23</v>
      </c>
      <c r="B24" s="12">
        <v>45380</v>
      </c>
      <c r="C24" s="13" t="s">
        <v>9</v>
      </c>
      <c r="D24" s="13">
        <v>30</v>
      </c>
      <c r="E24" s="10">
        <v>12</v>
      </c>
      <c r="F24" s="10">
        <v>0.8</v>
      </c>
      <c r="G24" s="11" t="s">
        <v>30</v>
      </c>
    </row>
    <row r="25" spans="1:7" ht="31.2" x14ac:dyDescent="0.3">
      <c r="A25" s="7">
        <v>24</v>
      </c>
      <c r="B25" s="12">
        <v>45382</v>
      </c>
      <c r="C25" s="13">
        <v>2312</v>
      </c>
      <c r="D25" s="13">
        <v>30</v>
      </c>
      <c r="E25" s="10">
        <v>12</v>
      </c>
      <c r="F25" s="10">
        <v>1.1000000000000001</v>
      </c>
      <c r="G25" s="11" t="s">
        <v>31</v>
      </c>
    </row>
    <row r="26" spans="1:7" ht="31.2" x14ac:dyDescent="0.3">
      <c r="A26" s="7">
        <v>25</v>
      </c>
      <c r="B26" s="12">
        <v>45389</v>
      </c>
      <c r="C26" s="13">
        <v>2312</v>
      </c>
      <c r="D26" s="13">
        <v>30</v>
      </c>
      <c r="E26" s="10">
        <v>12</v>
      </c>
      <c r="F26" s="10">
        <v>1.2</v>
      </c>
      <c r="G26" s="11" t="s">
        <v>32</v>
      </c>
    </row>
    <row r="27" spans="1:7" ht="31.2" x14ac:dyDescent="0.3">
      <c r="A27" s="7">
        <v>26</v>
      </c>
      <c r="B27" s="12">
        <v>45409</v>
      </c>
      <c r="C27" s="13">
        <v>2312</v>
      </c>
      <c r="D27" s="13">
        <v>30</v>
      </c>
      <c r="E27" s="10">
        <v>12</v>
      </c>
      <c r="F27" s="10">
        <v>1</v>
      </c>
      <c r="G27" s="11" t="s">
        <v>33</v>
      </c>
    </row>
    <row r="28" spans="1:7" ht="31.2" x14ac:dyDescent="0.3">
      <c r="A28" s="7">
        <v>27</v>
      </c>
      <c r="B28" s="12">
        <v>45410</v>
      </c>
      <c r="C28" s="13">
        <v>2312</v>
      </c>
      <c r="D28" s="13">
        <v>30</v>
      </c>
      <c r="E28" s="10">
        <v>12</v>
      </c>
      <c r="F28" s="10">
        <v>0.9</v>
      </c>
      <c r="G28" s="11" t="s">
        <v>34</v>
      </c>
    </row>
    <row r="29" spans="1:7" ht="31.2" x14ac:dyDescent="0.3">
      <c r="A29" s="7">
        <v>28</v>
      </c>
      <c r="B29" s="12">
        <v>45417</v>
      </c>
      <c r="C29" s="13">
        <v>2312</v>
      </c>
      <c r="D29" s="13">
        <v>30</v>
      </c>
      <c r="E29" s="10">
        <v>12</v>
      </c>
      <c r="F29" s="10">
        <v>0.95</v>
      </c>
      <c r="G29" s="11" t="s">
        <v>35</v>
      </c>
    </row>
    <row r="30" spans="1:7" ht="31.2" x14ac:dyDescent="0.3">
      <c r="A30" s="7">
        <v>29</v>
      </c>
      <c r="B30" s="12">
        <v>45418</v>
      </c>
      <c r="C30" s="13">
        <v>2312</v>
      </c>
      <c r="D30" s="13">
        <v>20</v>
      </c>
      <c r="E30" s="10">
        <v>12</v>
      </c>
      <c r="F30" s="10">
        <v>0.73</v>
      </c>
      <c r="G30" s="11" t="s">
        <v>36</v>
      </c>
    </row>
    <row r="31" spans="1:7" ht="31.8" thickBot="1" x14ac:dyDescent="0.35">
      <c r="A31" s="14">
        <v>30</v>
      </c>
      <c r="B31" s="15">
        <v>45475</v>
      </c>
      <c r="C31" s="16">
        <v>2312</v>
      </c>
      <c r="D31" s="16">
        <v>30</v>
      </c>
      <c r="E31" s="10">
        <v>12</v>
      </c>
      <c r="F31" s="17">
        <v>0.9</v>
      </c>
      <c r="G31" s="1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CCD8-1936-4B21-B702-EE6778180A01}">
  <dimension ref="A1:O33"/>
  <sheetViews>
    <sheetView workbookViewId="0">
      <selection activeCell="H35" sqref="H35"/>
    </sheetView>
  </sheetViews>
  <sheetFormatPr baseColWidth="10" defaultColWidth="16.6640625" defaultRowHeight="14.4" x14ac:dyDescent="0.3"/>
  <cols>
    <col min="1" max="1" width="5.5546875" style="20" customWidth="1"/>
    <col min="2" max="2" width="13.77734375" style="20" customWidth="1"/>
    <col min="3" max="3" width="27.33203125" style="20" customWidth="1"/>
    <col min="4" max="4" width="10.44140625" style="20" customWidth="1"/>
    <col min="5" max="5" width="11.5546875" style="20" customWidth="1"/>
    <col min="6" max="6" width="8.6640625" style="20" customWidth="1"/>
    <col min="7" max="7" width="26" style="20" customWidth="1"/>
    <col min="8" max="8" width="24.6640625" style="20" customWidth="1"/>
    <col min="9" max="9" width="11.109375" style="20" customWidth="1"/>
    <col min="10" max="10" width="16.6640625" style="20"/>
    <col min="11" max="11" width="6.6640625" style="20" customWidth="1"/>
    <col min="12" max="16384" width="16.6640625" style="20"/>
  </cols>
  <sheetData>
    <row r="1" spans="1:15" ht="16.2" thickBot="1" x14ac:dyDescent="0.35">
      <c r="A1" s="19" t="s">
        <v>38</v>
      </c>
      <c r="B1" s="19"/>
      <c r="C1" s="19"/>
      <c r="D1" s="19"/>
      <c r="E1" s="19"/>
      <c r="F1" s="19"/>
      <c r="G1" s="19"/>
    </row>
    <row r="2" spans="1:15" ht="31.8" thickTop="1" x14ac:dyDescent="0.3">
      <c r="A2" s="22" t="s">
        <v>39</v>
      </c>
      <c r="B2" s="22" t="s">
        <v>1</v>
      </c>
      <c r="C2" s="22" t="s">
        <v>40</v>
      </c>
      <c r="D2" s="23" t="s">
        <v>41</v>
      </c>
      <c r="E2" s="24" t="s">
        <v>42</v>
      </c>
      <c r="F2" s="22" t="s">
        <v>43</v>
      </c>
      <c r="G2" s="22" t="s">
        <v>44</v>
      </c>
    </row>
    <row r="3" spans="1:15" s="30" customFormat="1" ht="15.6" x14ac:dyDescent="0.3">
      <c r="A3" s="26">
        <v>1</v>
      </c>
      <c r="B3" s="27">
        <v>45277</v>
      </c>
      <c r="C3" s="26" t="s">
        <v>46</v>
      </c>
      <c r="D3" s="26">
        <v>0.9</v>
      </c>
      <c r="E3" s="28" t="s">
        <v>47</v>
      </c>
      <c r="F3" s="29">
        <v>0.76</v>
      </c>
      <c r="G3" s="26" t="s">
        <v>48</v>
      </c>
      <c r="H3" s="20"/>
      <c r="I3" s="20"/>
      <c r="J3" s="20"/>
      <c r="K3" s="20"/>
      <c r="L3" s="20"/>
      <c r="M3" s="20"/>
      <c r="N3" s="20"/>
      <c r="O3" s="20"/>
    </row>
    <row r="4" spans="1:15" s="30" customFormat="1" ht="15.6" x14ac:dyDescent="0.3">
      <c r="A4" s="32">
        <v>11</v>
      </c>
      <c r="B4" s="33">
        <v>45284</v>
      </c>
      <c r="C4" s="32" t="s">
        <v>12</v>
      </c>
      <c r="D4" s="32">
        <v>1</v>
      </c>
      <c r="E4" s="34" t="s">
        <v>47</v>
      </c>
      <c r="F4" s="34">
        <v>0.89</v>
      </c>
      <c r="G4" s="32" t="s">
        <v>49</v>
      </c>
      <c r="H4" s="20"/>
      <c r="I4" s="20"/>
      <c r="J4" s="20"/>
      <c r="K4" s="20"/>
      <c r="L4" s="20"/>
      <c r="M4" s="20"/>
      <c r="N4" s="20"/>
      <c r="O4" s="20"/>
    </row>
    <row r="5" spans="1:15" s="30" customFormat="1" ht="15.6" x14ac:dyDescent="0.3">
      <c r="A5" s="32">
        <v>3</v>
      </c>
      <c r="B5" s="33">
        <v>45372</v>
      </c>
      <c r="C5" s="35" t="s">
        <v>23</v>
      </c>
      <c r="D5" s="36">
        <v>1</v>
      </c>
      <c r="E5" s="34" t="s">
        <v>47</v>
      </c>
      <c r="F5" s="37">
        <v>0.83</v>
      </c>
      <c r="G5" s="32" t="s">
        <v>50</v>
      </c>
      <c r="H5" s="20"/>
      <c r="I5" s="20"/>
      <c r="J5" s="20"/>
      <c r="K5" s="20"/>
      <c r="L5" s="20"/>
      <c r="M5" s="20"/>
      <c r="N5" s="20"/>
      <c r="O5" s="20"/>
    </row>
    <row r="6" spans="1:15" s="30" customFormat="1" ht="15.6" x14ac:dyDescent="0.3">
      <c r="A6" s="32">
        <v>4</v>
      </c>
      <c r="B6" s="33">
        <v>45376</v>
      </c>
      <c r="C6" s="35" t="s">
        <v>26</v>
      </c>
      <c r="D6" s="36">
        <v>1</v>
      </c>
      <c r="E6" s="34" t="s">
        <v>47</v>
      </c>
      <c r="F6" s="37">
        <v>0.9</v>
      </c>
      <c r="G6" s="32" t="s">
        <v>51</v>
      </c>
      <c r="H6" s="20"/>
      <c r="I6" s="20"/>
      <c r="J6" s="20"/>
      <c r="K6" s="20"/>
      <c r="L6" s="20"/>
      <c r="M6" s="20"/>
      <c r="N6" s="20"/>
      <c r="O6" s="20"/>
    </row>
    <row r="7" spans="1:15" s="30" customFormat="1" ht="15.6" x14ac:dyDescent="0.3">
      <c r="A7" s="32">
        <v>5</v>
      </c>
      <c r="B7" s="33">
        <v>45382</v>
      </c>
      <c r="C7" s="35" t="s">
        <v>31</v>
      </c>
      <c r="D7" s="36">
        <v>1.1000000000000001</v>
      </c>
      <c r="E7" s="34" t="s">
        <v>47</v>
      </c>
      <c r="F7" s="37">
        <v>0.96</v>
      </c>
      <c r="G7" s="32" t="s">
        <v>52</v>
      </c>
      <c r="H7" s="20"/>
      <c r="I7" s="20"/>
      <c r="J7" s="20"/>
      <c r="K7" s="20"/>
      <c r="L7" s="20"/>
      <c r="M7" s="20"/>
      <c r="N7" s="20"/>
      <c r="O7" s="20"/>
    </row>
    <row r="8" spans="1:15" s="30" customFormat="1" ht="15.6" x14ac:dyDescent="0.3">
      <c r="A8" s="32">
        <v>6</v>
      </c>
      <c r="B8" s="33">
        <v>45389</v>
      </c>
      <c r="C8" s="35" t="s">
        <v>32</v>
      </c>
      <c r="D8" s="36">
        <v>1.2</v>
      </c>
      <c r="E8" s="34" t="s">
        <v>47</v>
      </c>
      <c r="F8" s="37">
        <v>1.02</v>
      </c>
      <c r="G8" s="32" t="s">
        <v>53</v>
      </c>
      <c r="H8" s="20"/>
      <c r="I8" s="20"/>
      <c r="J8" s="20"/>
      <c r="K8" s="20"/>
      <c r="L8" s="20"/>
      <c r="M8" s="20"/>
      <c r="N8" s="20"/>
      <c r="O8" s="20"/>
    </row>
    <row r="9" spans="1:15" s="30" customFormat="1" ht="15.6" x14ac:dyDescent="0.3">
      <c r="A9" s="32">
        <v>7</v>
      </c>
      <c r="B9" s="33">
        <v>45409</v>
      </c>
      <c r="C9" s="35" t="s">
        <v>54</v>
      </c>
      <c r="D9" s="36">
        <v>1</v>
      </c>
      <c r="E9" s="34" t="s">
        <v>47</v>
      </c>
      <c r="F9" s="37">
        <v>0.82</v>
      </c>
      <c r="G9" s="32" t="s">
        <v>55</v>
      </c>
      <c r="H9" s="20"/>
      <c r="I9" s="20"/>
      <c r="J9" s="20"/>
      <c r="K9" s="20"/>
      <c r="L9" s="20"/>
      <c r="M9" s="20"/>
      <c r="N9" s="20"/>
      <c r="O9" s="20"/>
    </row>
    <row r="10" spans="1:15" s="30" customFormat="1" ht="15.6" x14ac:dyDescent="0.3">
      <c r="A10" s="32">
        <v>8</v>
      </c>
      <c r="B10" s="33">
        <v>45417</v>
      </c>
      <c r="C10" s="35" t="s">
        <v>35</v>
      </c>
      <c r="D10" s="36">
        <v>0.95</v>
      </c>
      <c r="E10" s="34" t="s">
        <v>47</v>
      </c>
      <c r="F10" s="37">
        <v>0.71</v>
      </c>
      <c r="G10" s="32" t="s">
        <v>56</v>
      </c>
      <c r="H10" s="20"/>
      <c r="I10" s="20"/>
      <c r="J10" s="20"/>
      <c r="K10" s="20"/>
      <c r="L10" s="20"/>
      <c r="M10" s="20"/>
      <c r="N10" s="20"/>
      <c r="O10" s="20"/>
    </row>
    <row r="11" spans="1:15" s="30" customFormat="1" ht="15.6" x14ac:dyDescent="0.3">
      <c r="A11" s="32">
        <v>10</v>
      </c>
      <c r="B11" s="33">
        <v>45418</v>
      </c>
      <c r="C11" s="32" t="s">
        <v>36</v>
      </c>
      <c r="D11" s="32">
        <v>0.73</v>
      </c>
      <c r="E11" s="34" t="s">
        <v>57</v>
      </c>
      <c r="F11" s="34">
        <v>0.59499999999999997</v>
      </c>
      <c r="G11" s="32" t="s">
        <v>58</v>
      </c>
      <c r="H11" s="20"/>
      <c r="I11" s="20"/>
      <c r="J11" s="20"/>
      <c r="K11" s="20"/>
      <c r="L11" s="20"/>
      <c r="M11" s="20"/>
      <c r="N11" s="20"/>
      <c r="O11" s="20"/>
    </row>
    <row r="12" spans="1:15" s="30" customFormat="1" ht="15.6" x14ac:dyDescent="0.3">
      <c r="A12" s="32">
        <v>9</v>
      </c>
      <c r="B12" s="33">
        <v>45484</v>
      </c>
      <c r="C12" s="35" t="s">
        <v>37</v>
      </c>
      <c r="D12" s="36">
        <v>0.9</v>
      </c>
      <c r="E12" s="34" t="s">
        <v>57</v>
      </c>
      <c r="F12" s="37">
        <v>0.8</v>
      </c>
      <c r="G12" s="32" t="s">
        <v>59</v>
      </c>
      <c r="H12" s="20"/>
      <c r="I12" s="20"/>
      <c r="J12" s="20"/>
      <c r="K12" s="20"/>
      <c r="L12" s="20"/>
      <c r="M12" s="20"/>
      <c r="N12" s="20"/>
      <c r="O12" s="20"/>
    </row>
    <row r="13" spans="1:15" s="30" customFormat="1" ht="15.6" x14ac:dyDescent="0.3">
      <c r="A13" s="32">
        <v>2</v>
      </c>
      <c r="B13" s="33">
        <v>45574</v>
      </c>
      <c r="C13" s="32" t="s">
        <v>60</v>
      </c>
      <c r="D13" s="39">
        <v>0.6</v>
      </c>
      <c r="E13" s="34" t="s">
        <v>57</v>
      </c>
      <c r="F13" s="39">
        <v>0.49</v>
      </c>
      <c r="G13" s="32" t="s">
        <v>61</v>
      </c>
      <c r="H13" s="20"/>
      <c r="I13" s="20"/>
      <c r="J13" s="20"/>
      <c r="K13" s="20"/>
      <c r="L13" s="20"/>
      <c r="M13" s="20"/>
      <c r="N13" s="20"/>
      <c r="O13" s="20"/>
    </row>
    <row r="14" spans="1:15" s="30" customFormat="1" ht="15.6" x14ac:dyDescent="0.3">
      <c r="A14" s="32">
        <v>12</v>
      </c>
      <c r="B14" s="33">
        <v>45601</v>
      </c>
      <c r="C14" s="32" t="s">
        <v>15</v>
      </c>
      <c r="D14" s="32">
        <v>0.03</v>
      </c>
      <c r="E14" s="34" t="s">
        <v>57</v>
      </c>
      <c r="F14" s="34">
        <v>2.7E-2</v>
      </c>
      <c r="G14" s="32" t="s">
        <v>62</v>
      </c>
      <c r="H14" s="20"/>
      <c r="I14" s="20"/>
      <c r="J14" s="20"/>
      <c r="K14" s="20"/>
      <c r="L14" s="20"/>
      <c r="M14" s="20"/>
      <c r="N14" s="20"/>
      <c r="O14" s="20"/>
    </row>
    <row r="15" spans="1:15" ht="15.6" x14ac:dyDescent="0.3">
      <c r="A15" s="40">
        <v>13</v>
      </c>
      <c r="B15" s="41">
        <v>45601</v>
      </c>
      <c r="C15" s="40" t="s">
        <v>63</v>
      </c>
      <c r="D15" s="40">
        <v>0.03</v>
      </c>
      <c r="E15" s="42" t="s">
        <v>57</v>
      </c>
      <c r="F15" s="42">
        <v>2.8000000000000001E-2</v>
      </c>
      <c r="G15" s="40" t="s">
        <v>64</v>
      </c>
    </row>
    <row r="16" spans="1:15" ht="31.2" x14ac:dyDescent="0.3">
      <c r="A16" s="43"/>
      <c r="B16" s="44"/>
      <c r="C16" s="43" t="s">
        <v>65</v>
      </c>
      <c r="D16" s="43"/>
      <c r="E16" s="45"/>
      <c r="F16" s="45"/>
      <c r="G16" s="43"/>
    </row>
    <row r="17" spans="1:15" ht="15.6" x14ac:dyDescent="0.3">
      <c r="A17" s="32">
        <v>14</v>
      </c>
      <c r="B17" s="33">
        <v>45672</v>
      </c>
      <c r="C17" s="32" t="s">
        <v>66</v>
      </c>
      <c r="D17" s="32">
        <v>0.4</v>
      </c>
      <c r="E17" s="42" t="s">
        <v>57</v>
      </c>
      <c r="F17" s="34">
        <v>0.34</v>
      </c>
      <c r="G17" s="32" t="s">
        <v>67</v>
      </c>
    </row>
    <row r="18" spans="1:15" ht="15.6" x14ac:dyDescent="0.3">
      <c r="A18" s="32">
        <v>15</v>
      </c>
      <c r="B18" s="33">
        <v>45679</v>
      </c>
      <c r="C18" s="46" t="s">
        <v>15</v>
      </c>
      <c r="D18" s="40">
        <v>0.191</v>
      </c>
      <c r="E18" s="42" t="s">
        <v>57</v>
      </c>
      <c r="F18" s="34">
        <v>0.17100000000000001</v>
      </c>
      <c r="G18" s="32" t="s">
        <v>68</v>
      </c>
    </row>
    <row r="19" spans="1:15" ht="15.6" x14ac:dyDescent="0.3">
      <c r="A19" s="25">
        <v>16</v>
      </c>
      <c r="B19" s="47">
        <v>45680</v>
      </c>
      <c r="C19" s="48" t="s">
        <v>16</v>
      </c>
      <c r="D19" s="31">
        <v>0.69</v>
      </c>
      <c r="E19" s="42" t="s">
        <v>57</v>
      </c>
      <c r="F19" s="31">
        <v>0.58099999999999996</v>
      </c>
      <c r="G19" s="25" t="s">
        <v>69</v>
      </c>
    </row>
    <row r="20" spans="1:15" ht="12" customHeight="1" x14ac:dyDescent="0.3">
      <c r="A20" s="50" t="s">
        <v>70</v>
      </c>
      <c r="B20" s="50"/>
      <c r="C20" s="51"/>
      <c r="D20" s="52"/>
      <c r="E20" s="51"/>
      <c r="F20" s="52"/>
      <c r="G20" s="51"/>
    </row>
    <row r="21" spans="1:15" ht="12" customHeight="1" x14ac:dyDescent="0.3">
      <c r="A21" s="53" t="s">
        <v>71</v>
      </c>
      <c r="B21" s="53"/>
      <c r="C21" s="54"/>
      <c r="D21" s="55"/>
      <c r="E21" s="54"/>
      <c r="F21" s="54"/>
      <c r="G21" s="54"/>
    </row>
    <row r="22" spans="1:15" ht="15.6" customHeight="1" x14ac:dyDescent="0.3">
      <c r="A22" s="31">
        <v>17</v>
      </c>
      <c r="B22" s="38">
        <v>45950</v>
      </c>
      <c r="C22" s="31" t="s">
        <v>11</v>
      </c>
      <c r="D22" s="56">
        <v>1</v>
      </c>
      <c r="E22" s="56" t="s">
        <v>57</v>
      </c>
      <c r="F22" s="56">
        <f>0.907</f>
        <v>0.90700000000000003</v>
      </c>
      <c r="G22" s="31" t="s">
        <v>72</v>
      </c>
    </row>
    <row r="23" spans="1:15" ht="21" customHeight="1" x14ac:dyDescent="0.3">
      <c r="A23" s="31">
        <v>18</v>
      </c>
      <c r="B23" s="38">
        <v>45951</v>
      </c>
      <c r="C23" s="31" t="s">
        <v>17</v>
      </c>
      <c r="D23" s="56">
        <v>1.0900000000000001</v>
      </c>
      <c r="E23" s="56" t="s">
        <v>57</v>
      </c>
      <c r="F23" s="56">
        <f>0.977</f>
        <v>0.97699999999999998</v>
      </c>
      <c r="G23" s="31" t="s">
        <v>73</v>
      </c>
    </row>
    <row r="24" spans="1:15" x14ac:dyDescent="0.3">
      <c r="A24" s="31">
        <v>19</v>
      </c>
      <c r="B24" s="38">
        <v>45953</v>
      </c>
      <c r="C24" s="31" t="s">
        <v>19</v>
      </c>
      <c r="D24" s="56">
        <v>1</v>
      </c>
      <c r="E24" s="56" t="s">
        <v>57</v>
      </c>
      <c r="F24" s="20">
        <v>0.879</v>
      </c>
      <c r="G24" s="31" t="s">
        <v>74</v>
      </c>
    </row>
    <row r="25" spans="1:15" x14ac:dyDescent="0.3">
      <c r="A25" s="31">
        <v>20</v>
      </c>
      <c r="B25" s="38">
        <v>45956</v>
      </c>
      <c r="C25" s="31" t="s">
        <v>27</v>
      </c>
      <c r="D25" s="56">
        <v>1</v>
      </c>
      <c r="E25" s="56" t="s">
        <v>57</v>
      </c>
      <c r="F25" s="20">
        <v>0.91100000000000003</v>
      </c>
      <c r="G25" s="31" t="s">
        <v>75</v>
      </c>
    </row>
    <row r="26" spans="1:15" x14ac:dyDescent="0.3">
      <c r="A26" s="31">
        <v>21</v>
      </c>
      <c r="B26" s="38">
        <v>45958</v>
      </c>
      <c r="C26" s="31" t="s">
        <v>28</v>
      </c>
      <c r="D26" s="56">
        <v>1.08</v>
      </c>
      <c r="E26" s="56" t="s">
        <v>57</v>
      </c>
      <c r="F26" s="20">
        <v>0.98799999999999999</v>
      </c>
      <c r="G26" s="31" t="s">
        <v>76</v>
      </c>
    </row>
    <row r="27" spans="1:15" x14ac:dyDescent="0.3">
      <c r="A27" s="31">
        <v>22</v>
      </c>
      <c r="B27" s="38">
        <v>45964</v>
      </c>
      <c r="C27" s="31" t="s">
        <v>18</v>
      </c>
      <c r="D27" s="31">
        <v>1.0900000000000001</v>
      </c>
      <c r="E27" s="56" t="s">
        <v>57</v>
      </c>
      <c r="F27" s="20">
        <v>0.872</v>
      </c>
      <c r="G27" s="31" t="s">
        <v>77</v>
      </c>
    </row>
    <row r="28" spans="1:15" s="60" customFormat="1" x14ac:dyDescent="0.3">
      <c r="A28" s="57">
        <v>23</v>
      </c>
      <c r="B28" s="58">
        <v>45966</v>
      </c>
      <c r="C28" s="57" t="s">
        <v>13</v>
      </c>
      <c r="D28" s="57">
        <v>0.75</v>
      </c>
      <c r="E28" s="59" t="s">
        <v>57</v>
      </c>
      <c r="F28" s="60">
        <v>0.61</v>
      </c>
      <c r="G28" s="57" t="s">
        <v>78</v>
      </c>
    </row>
    <row r="29" spans="1:15" x14ac:dyDescent="0.3">
      <c r="D29" s="49"/>
      <c r="F29" s="61"/>
    </row>
    <row r="30" spans="1:15" ht="15" thickBot="1" x14ac:dyDescent="0.35">
      <c r="D30" s="49"/>
    </row>
    <row r="31" spans="1:15" ht="16.2" thickTop="1" x14ac:dyDescent="0.3">
      <c r="M31" s="23"/>
      <c r="N31" s="24"/>
      <c r="O31" s="22"/>
    </row>
    <row r="32" spans="1:15" ht="18" x14ac:dyDescent="0.3">
      <c r="L32" s="62"/>
      <c r="M32" s="63"/>
      <c r="N32" s="64"/>
      <c r="O32" s="63"/>
    </row>
    <row r="33" spans="12:13" ht="15.6" x14ac:dyDescent="0.3">
      <c r="L33" s="65"/>
      <c r="M33" s="63"/>
    </row>
  </sheetData>
  <mergeCells count="3">
    <mergeCell ref="A1:G1"/>
    <mergeCell ref="A20:B20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BB55-E609-45A5-8FB7-29F6A0F6E967}">
  <dimension ref="A1:Y23"/>
  <sheetViews>
    <sheetView workbookViewId="0">
      <selection sqref="A1:XFD1048576"/>
    </sheetView>
  </sheetViews>
  <sheetFormatPr baseColWidth="10" defaultColWidth="15.5546875" defaultRowHeight="14.4" x14ac:dyDescent="0.3"/>
  <cols>
    <col min="1" max="1" width="3.5546875" style="145" customWidth="1"/>
    <col min="2" max="2" width="11.5546875" customWidth="1"/>
    <col min="3" max="3" width="7.88671875" customWidth="1"/>
    <col min="4" max="4" width="6.5546875" customWidth="1"/>
    <col min="5" max="5" width="22.88671875" customWidth="1"/>
    <col min="6" max="6" width="5.44140625" customWidth="1"/>
    <col min="7" max="7" width="4.77734375" customWidth="1"/>
    <col min="8" max="8" width="23.88671875" customWidth="1"/>
    <col min="9" max="9" width="7.21875" customWidth="1"/>
    <col min="10" max="10" width="5.109375" customWidth="1"/>
    <col min="11" max="11" width="13.21875" customWidth="1"/>
    <col min="12" max="12" width="9.109375" customWidth="1"/>
    <col min="13" max="13" width="4.44140625" customWidth="1"/>
    <col min="14" max="14" width="12.44140625" customWidth="1"/>
    <col min="15" max="15" width="11.44140625" customWidth="1"/>
    <col min="16" max="16" width="9.5546875" customWidth="1"/>
    <col min="18" max="18" width="5.21875" customWidth="1"/>
    <col min="22" max="22" width="3.21875" customWidth="1"/>
  </cols>
  <sheetData>
    <row r="1" spans="1:25" ht="29.4" thickBot="1" x14ac:dyDescent="0.35">
      <c r="A1" s="92" t="s">
        <v>135</v>
      </c>
      <c r="B1" s="92"/>
      <c r="C1" s="92"/>
      <c r="D1" s="92"/>
      <c r="E1" s="92"/>
      <c r="F1" s="92"/>
      <c r="G1" s="92"/>
      <c r="H1" s="92"/>
      <c r="I1" s="92"/>
      <c r="K1" s="93" t="s">
        <v>136</v>
      </c>
      <c r="L1" s="93"/>
      <c r="N1" s="94" t="s">
        <v>137</v>
      </c>
      <c r="O1" s="67" t="s">
        <v>138</v>
      </c>
      <c r="P1" s="68"/>
      <c r="Q1" s="95" t="s">
        <v>139</v>
      </c>
      <c r="R1" s="46"/>
      <c r="S1" s="93" t="s">
        <v>140</v>
      </c>
      <c r="T1" s="93"/>
      <c r="U1" s="95" t="s">
        <v>141</v>
      </c>
      <c r="W1" s="93" t="s">
        <v>142</v>
      </c>
      <c r="X1" s="93"/>
      <c r="Y1" s="95" t="s">
        <v>143</v>
      </c>
    </row>
    <row r="2" spans="1:25" ht="15.6" x14ac:dyDescent="0.3">
      <c r="A2" s="96" t="s">
        <v>144</v>
      </c>
      <c r="B2" s="97" t="s">
        <v>1</v>
      </c>
      <c r="C2" s="98" t="s">
        <v>145</v>
      </c>
      <c r="D2" s="98"/>
      <c r="E2" s="98" t="s">
        <v>146</v>
      </c>
      <c r="F2" s="98"/>
      <c r="G2" s="98"/>
      <c r="H2" s="99" t="s">
        <v>147</v>
      </c>
      <c r="I2" s="99"/>
      <c r="J2" s="100"/>
      <c r="K2" s="101" t="s">
        <v>1</v>
      </c>
      <c r="L2" s="101" t="s">
        <v>45</v>
      </c>
      <c r="M2" s="102"/>
      <c r="N2" s="103" t="s">
        <v>45</v>
      </c>
      <c r="O2" s="101" t="s">
        <v>1</v>
      </c>
      <c r="P2" s="104" t="s">
        <v>45</v>
      </c>
      <c r="Q2" s="103" t="s">
        <v>45</v>
      </c>
      <c r="S2" s="21" t="s">
        <v>1</v>
      </c>
      <c r="T2" s="21" t="s">
        <v>45</v>
      </c>
      <c r="U2" s="21" t="s">
        <v>45</v>
      </c>
      <c r="W2" s="21" t="s">
        <v>1</v>
      </c>
      <c r="X2" s="21" t="s">
        <v>45</v>
      </c>
      <c r="Y2" s="75"/>
    </row>
    <row r="3" spans="1:25" ht="31.2" x14ac:dyDescent="0.3">
      <c r="A3" s="105"/>
      <c r="B3" s="106"/>
      <c r="C3" s="107" t="s">
        <v>148</v>
      </c>
      <c r="D3" s="107" t="s">
        <v>149</v>
      </c>
      <c r="E3" s="108" t="s">
        <v>148</v>
      </c>
      <c r="F3" s="107" t="s">
        <v>149</v>
      </c>
      <c r="G3" s="107" t="s">
        <v>150</v>
      </c>
      <c r="H3" s="108" t="s">
        <v>148</v>
      </c>
      <c r="I3" s="107" t="s">
        <v>149</v>
      </c>
      <c r="J3" s="109" t="s">
        <v>150</v>
      </c>
      <c r="K3" s="110"/>
      <c r="L3" s="110"/>
      <c r="M3" s="102"/>
      <c r="N3" s="111"/>
      <c r="O3" s="110"/>
      <c r="P3" s="112"/>
      <c r="Q3" s="111"/>
      <c r="S3" s="21"/>
      <c r="T3" s="21"/>
      <c r="U3" s="21"/>
      <c r="W3" s="21"/>
      <c r="X3" s="21"/>
      <c r="Y3" s="75"/>
    </row>
    <row r="4" spans="1:25" ht="15.6" x14ac:dyDescent="0.3">
      <c r="A4" s="113">
        <v>1</v>
      </c>
      <c r="B4" s="114">
        <v>45557</v>
      </c>
      <c r="C4" s="115">
        <v>11823</v>
      </c>
      <c r="D4" s="116">
        <f>F4+I4</f>
        <v>800</v>
      </c>
      <c r="E4" s="117" t="s">
        <v>151</v>
      </c>
      <c r="F4" s="116">
        <v>400</v>
      </c>
      <c r="G4" s="116"/>
      <c r="H4" s="118" t="s">
        <v>152</v>
      </c>
      <c r="I4" s="116">
        <v>400</v>
      </c>
      <c r="J4" s="119">
        <v>500</v>
      </c>
      <c r="K4" s="31"/>
      <c r="L4" s="31"/>
      <c r="M4" s="120"/>
      <c r="N4" s="75">
        <v>800</v>
      </c>
      <c r="O4" s="75"/>
      <c r="P4" s="75">
        <v>0</v>
      </c>
      <c r="Q4" s="121">
        <f>N4-P4</f>
        <v>800</v>
      </c>
      <c r="S4" s="31"/>
      <c r="T4" s="31">
        <v>800</v>
      </c>
      <c r="U4" s="31">
        <f t="shared" ref="U4:U12" si="0">Q4-T4</f>
        <v>0</v>
      </c>
      <c r="W4" s="25"/>
      <c r="X4" s="25"/>
      <c r="Y4" s="75"/>
    </row>
    <row r="5" spans="1:25" ht="15.6" x14ac:dyDescent="0.3">
      <c r="A5" s="113">
        <v>2</v>
      </c>
      <c r="B5" s="114">
        <v>45558</v>
      </c>
      <c r="C5" s="115">
        <v>21825</v>
      </c>
      <c r="D5" s="116">
        <f t="shared" ref="D5:D11" si="1">F5+I5</f>
        <v>800</v>
      </c>
      <c r="E5" s="117" t="s">
        <v>153</v>
      </c>
      <c r="F5" s="116">
        <v>400</v>
      </c>
      <c r="G5" s="116">
        <v>420</v>
      </c>
      <c r="H5" s="118" t="s">
        <v>152</v>
      </c>
      <c r="I5" s="116">
        <v>400</v>
      </c>
      <c r="J5" s="119">
        <v>100</v>
      </c>
      <c r="K5" s="31"/>
      <c r="L5" s="31"/>
      <c r="M5" s="120"/>
      <c r="N5" s="75">
        <v>800</v>
      </c>
      <c r="O5" s="122">
        <v>45883</v>
      </c>
      <c r="P5" s="75">
        <f>19*30+20</f>
        <v>590</v>
      </c>
      <c r="Q5" s="121">
        <f>N5-P5</f>
        <v>210</v>
      </c>
      <c r="S5" s="31"/>
      <c r="T5" s="31">
        <v>210</v>
      </c>
      <c r="U5" s="31">
        <f t="shared" si="0"/>
        <v>0</v>
      </c>
      <c r="W5" s="75"/>
      <c r="X5" s="75"/>
      <c r="Y5" s="75"/>
    </row>
    <row r="6" spans="1:25" ht="15.6" x14ac:dyDescent="0.3">
      <c r="A6" s="113">
        <v>3</v>
      </c>
      <c r="B6" s="114">
        <v>45559</v>
      </c>
      <c r="C6" s="115">
        <v>30808</v>
      </c>
      <c r="D6" s="116">
        <f t="shared" si="1"/>
        <v>55</v>
      </c>
      <c r="E6" s="117" t="s">
        <v>154</v>
      </c>
      <c r="F6" s="116">
        <v>27</v>
      </c>
      <c r="G6" s="116"/>
      <c r="H6" s="118" t="s">
        <v>155</v>
      </c>
      <c r="I6" s="116">
        <v>28</v>
      </c>
      <c r="J6" s="119"/>
      <c r="K6" s="31"/>
      <c r="L6" s="31"/>
      <c r="M6" s="120"/>
      <c r="N6" s="75">
        <v>55</v>
      </c>
      <c r="O6" s="123"/>
      <c r="P6" s="75">
        <v>0</v>
      </c>
      <c r="Q6" s="121">
        <f t="shared" ref="Q6:Q12" si="2">N6-P6</f>
        <v>55</v>
      </c>
      <c r="S6" s="75"/>
      <c r="T6" s="75"/>
      <c r="U6" s="31">
        <f t="shared" si="0"/>
        <v>55</v>
      </c>
      <c r="W6" s="74">
        <v>46156</v>
      </c>
      <c r="X6" s="75">
        <v>55</v>
      </c>
      <c r="Y6" s="75">
        <v>0</v>
      </c>
    </row>
    <row r="7" spans="1:25" s="135" customFormat="1" ht="15.6" x14ac:dyDescent="0.3">
      <c r="A7" s="124">
        <v>4</v>
      </c>
      <c r="B7" s="125">
        <v>45672</v>
      </c>
      <c r="C7" s="126">
        <v>42505</v>
      </c>
      <c r="D7" s="127">
        <f t="shared" si="1"/>
        <v>840</v>
      </c>
      <c r="E7" s="128" t="s">
        <v>55</v>
      </c>
      <c r="F7" s="127">
        <v>420</v>
      </c>
      <c r="G7" s="127">
        <v>0</v>
      </c>
      <c r="H7" s="129" t="s">
        <v>49</v>
      </c>
      <c r="I7" s="127">
        <v>420</v>
      </c>
      <c r="J7" s="130">
        <v>0</v>
      </c>
      <c r="K7" s="131"/>
      <c r="L7" s="131"/>
      <c r="M7" s="132"/>
      <c r="N7" s="75">
        <v>840</v>
      </c>
      <c r="O7" s="133">
        <v>45818</v>
      </c>
      <c r="P7" s="134">
        <f>25*30+3*30</f>
        <v>840</v>
      </c>
      <c r="Q7" s="121">
        <f t="shared" si="2"/>
        <v>0</v>
      </c>
      <c r="S7" s="134"/>
      <c r="T7" s="134"/>
      <c r="U7" s="31">
        <f t="shared" si="0"/>
        <v>0</v>
      </c>
      <c r="W7" s="134"/>
      <c r="X7" s="134"/>
      <c r="Y7" s="134"/>
    </row>
    <row r="8" spans="1:25" s="135" customFormat="1" ht="15.6" x14ac:dyDescent="0.3">
      <c r="A8" s="124">
        <v>5</v>
      </c>
      <c r="B8" s="125">
        <v>45726</v>
      </c>
      <c r="C8" s="126">
        <v>50502</v>
      </c>
      <c r="D8" s="127">
        <f t="shared" si="1"/>
        <v>960</v>
      </c>
      <c r="E8" s="128" t="s">
        <v>49</v>
      </c>
      <c r="F8" s="127">
        <v>470</v>
      </c>
      <c r="G8" s="127">
        <v>0</v>
      </c>
      <c r="H8" s="129" t="s">
        <v>61</v>
      </c>
      <c r="I8" s="127">
        <v>490</v>
      </c>
      <c r="J8" s="130">
        <v>0</v>
      </c>
      <c r="K8" s="136"/>
      <c r="L8" s="136"/>
      <c r="M8" s="132"/>
      <c r="N8" s="75">
        <v>960</v>
      </c>
      <c r="O8" s="133">
        <v>45883</v>
      </c>
      <c r="P8" s="134">
        <f>30*30+2*30</f>
        <v>960</v>
      </c>
      <c r="Q8" s="121">
        <f t="shared" si="2"/>
        <v>0</v>
      </c>
      <c r="S8" s="134"/>
      <c r="T8" s="134"/>
      <c r="U8" s="31">
        <f t="shared" si="0"/>
        <v>0</v>
      </c>
      <c r="W8" s="134"/>
      <c r="X8" s="134"/>
      <c r="Y8" s="134"/>
    </row>
    <row r="9" spans="1:25" s="135" customFormat="1" ht="15.6" x14ac:dyDescent="0.3">
      <c r="A9" s="124">
        <v>6</v>
      </c>
      <c r="B9" s="125">
        <v>45750</v>
      </c>
      <c r="C9" s="126">
        <v>61803</v>
      </c>
      <c r="D9" s="127">
        <f t="shared" si="1"/>
        <v>210</v>
      </c>
      <c r="E9" s="128" t="s">
        <v>51</v>
      </c>
      <c r="F9" s="127">
        <v>100</v>
      </c>
      <c r="G9" s="127">
        <v>0</v>
      </c>
      <c r="H9" s="129" t="s">
        <v>67</v>
      </c>
      <c r="I9" s="127">
        <v>110</v>
      </c>
      <c r="J9" s="130">
        <v>230</v>
      </c>
      <c r="K9" s="136"/>
      <c r="L9" s="136"/>
      <c r="M9" s="132"/>
      <c r="N9" s="75">
        <v>210</v>
      </c>
      <c r="O9" s="133">
        <v>45883</v>
      </c>
      <c r="P9" s="134">
        <f>7*30</f>
        <v>210</v>
      </c>
      <c r="Q9" s="121">
        <f t="shared" si="2"/>
        <v>0</v>
      </c>
      <c r="S9" s="134"/>
      <c r="T9" s="134"/>
      <c r="U9" s="31">
        <f t="shared" si="0"/>
        <v>0</v>
      </c>
      <c r="W9" s="134"/>
      <c r="X9" s="134"/>
      <c r="Y9" s="134"/>
    </row>
    <row r="10" spans="1:25" s="135" customFormat="1" ht="15.6" x14ac:dyDescent="0.3">
      <c r="A10" s="124">
        <v>7</v>
      </c>
      <c r="B10" s="125">
        <v>45762</v>
      </c>
      <c r="C10" s="126">
        <v>70324</v>
      </c>
      <c r="D10" s="127">
        <f t="shared" si="1"/>
        <v>420</v>
      </c>
      <c r="E10" s="128" t="s">
        <v>67</v>
      </c>
      <c r="F10" s="127">
        <v>230</v>
      </c>
      <c r="G10" s="127">
        <v>0</v>
      </c>
      <c r="H10" s="129" t="s">
        <v>53</v>
      </c>
      <c r="I10" s="127">
        <v>190</v>
      </c>
      <c r="J10" s="130">
        <v>830</v>
      </c>
      <c r="K10" s="136"/>
      <c r="L10" s="136"/>
      <c r="M10" s="132"/>
      <c r="N10" s="75">
        <v>420</v>
      </c>
      <c r="O10" s="133">
        <v>45820</v>
      </c>
      <c r="P10" s="134">
        <f>14*30</f>
        <v>420</v>
      </c>
      <c r="Q10" s="121">
        <f t="shared" si="2"/>
        <v>0</v>
      </c>
      <c r="S10" s="134"/>
      <c r="T10" s="134"/>
      <c r="U10" s="31">
        <f t="shared" si="0"/>
        <v>0</v>
      </c>
      <c r="W10" s="134"/>
      <c r="X10" s="134"/>
      <c r="Y10" s="134"/>
    </row>
    <row r="11" spans="1:25" ht="15.6" x14ac:dyDescent="0.3">
      <c r="A11" s="113">
        <v>8</v>
      </c>
      <c r="B11" s="114">
        <v>45774</v>
      </c>
      <c r="C11" s="115">
        <v>82415</v>
      </c>
      <c r="D11" s="116">
        <f t="shared" si="1"/>
        <v>1660</v>
      </c>
      <c r="E11" s="117" t="s">
        <v>53</v>
      </c>
      <c r="F11" s="116">
        <v>830</v>
      </c>
      <c r="G11" s="116">
        <v>0</v>
      </c>
      <c r="H11" s="118" t="s">
        <v>50</v>
      </c>
      <c r="I11" s="116">
        <v>830</v>
      </c>
      <c r="J11" s="119">
        <v>0</v>
      </c>
      <c r="K11" s="38">
        <v>45781</v>
      </c>
      <c r="L11" s="31">
        <v>120</v>
      </c>
      <c r="M11" s="120"/>
      <c r="N11" s="75">
        <f>D11-L11</f>
        <v>1540</v>
      </c>
      <c r="O11" s="122">
        <v>45888</v>
      </c>
      <c r="P11" s="75">
        <v>200</v>
      </c>
      <c r="Q11" s="121">
        <f>N11-P11</f>
        <v>1340</v>
      </c>
      <c r="S11" s="74">
        <v>45888</v>
      </c>
      <c r="T11" s="31">
        <v>1340</v>
      </c>
      <c r="U11" s="31">
        <f t="shared" si="0"/>
        <v>0</v>
      </c>
      <c r="W11" s="75"/>
      <c r="X11" s="75"/>
      <c r="Y11" s="75"/>
    </row>
    <row r="12" spans="1:25" ht="15.6" x14ac:dyDescent="0.3">
      <c r="A12" s="113">
        <v>9</v>
      </c>
      <c r="B12" s="114">
        <v>45778</v>
      </c>
      <c r="C12" s="115">
        <v>90808</v>
      </c>
      <c r="D12" s="116">
        <f>F12+I12</f>
        <v>752</v>
      </c>
      <c r="E12" s="137" t="s">
        <v>68</v>
      </c>
      <c r="F12" s="116">
        <v>171</v>
      </c>
      <c r="G12" s="116">
        <v>0</v>
      </c>
      <c r="H12" s="138" t="s">
        <v>69</v>
      </c>
      <c r="I12" s="139">
        <v>581</v>
      </c>
      <c r="J12" s="119">
        <v>0</v>
      </c>
      <c r="K12" s="31"/>
      <c r="L12" s="31">
        <v>0</v>
      </c>
      <c r="M12" s="120"/>
      <c r="N12" s="75">
        <v>752</v>
      </c>
      <c r="O12" s="75"/>
      <c r="P12" s="75">
        <v>0</v>
      </c>
      <c r="Q12" s="121">
        <f t="shared" si="2"/>
        <v>752</v>
      </c>
      <c r="S12" s="74">
        <v>46064</v>
      </c>
      <c r="T12" s="31">
        <v>380</v>
      </c>
      <c r="U12" s="31">
        <f t="shared" si="0"/>
        <v>372</v>
      </c>
      <c r="W12" s="74">
        <v>46123</v>
      </c>
      <c r="X12" s="75">
        <v>372</v>
      </c>
      <c r="Y12" s="75">
        <v>0</v>
      </c>
    </row>
    <row r="13" spans="1:25" ht="15.6" x14ac:dyDescent="0.3">
      <c r="A13" s="113">
        <v>10</v>
      </c>
      <c r="B13" s="114">
        <v>46162</v>
      </c>
      <c r="C13" s="115">
        <v>100106</v>
      </c>
      <c r="D13" s="116">
        <f>F13+I13</f>
        <v>1370</v>
      </c>
      <c r="E13" s="116" t="s">
        <v>48</v>
      </c>
      <c r="F13" s="116">
        <v>760</v>
      </c>
      <c r="G13" s="116">
        <v>0</v>
      </c>
      <c r="H13" s="116" t="s">
        <v>78</v>
      </c>
      <c r="I13" s="116">
        <v>610</v>
      </c>
      <c r="J13" s="119">
        <v>0</v>
      </c>
      <c r="K13" s="31"/>
      <c r="L13" s="31"/>
      <c r="M13" s="120"/>
      <c r="N13" s="75"/>
      <c r="O13" s="75"/>
      <c r="P13" s="75"/>
      <c r="W13" s="74">
        <v>46156</v>
      </c>
      <c r="X13" s="75">
        <v>1370</v>
      </c>
      <c r="Y13" s="75">
        <v>0</v>
      </c>
    </row>
    <row r="14" spans="1:25" ht="15.6" x14ac:dyDescent="0.3">
      <c r="A14" s="113"/>
      <c r="B14" s="116"/>
      <c r="C14" s="115"/>
      <c r="D14" s="116"/>
      <c r="E14" s="116"/>
      <c r="F14" s="116"/>
      <c r="G14" s="116"/>
      <c r="H14" s="116"/>
      <c r="I14" s="116"/>
      <c r="J14" s="119"/>
      <c r="K14" s="31"/>
      <c r="L14" s="31"/>
      <c r="M14" s="120"/>
      <c r="N14" s="75"/>
      <c r="O14" s="75"/>
      <c r="P14" s="75"/>
    </row>
    <row r="15" spans="1:25" ht="15.6" x14ac:dyDescent="0.3">
      <c r="A15" s="113"/>
      <c r="B15" s="116"/>
      <c r="C15" s="115"/>
      <c r="D15" s="116"/>
      <c r="E15" s="116"/>
      <c r="F15" s="116"/>
      <c r="G15" s="116"/>
      <c r="H15" s="116"/>
      <c r="I15" s="116"/>
      <c r="J15" s="119"/>
      <c r="K15" s="31"/>
      <c r="L15" s="31"/>
      <c r="M15" s="120"/>
      <c r="N15" s="75"/>
      <c r="O15" s="75"/>
      <c r="P15" s="75"/>
    </row>
    <row r="16" spans="1:25" ht="15.6" x14ac:dyDescent="0.3">
      <c r="A16" s="113"/>
      <c r="B16" s="116"/>
      <c r="C16" s="115"/>
      <c r="D16" s="116"/>
      <c r="E16" s="116"/>
      <c r="F16" s="116"/>
      <c r="G16" s="116"/>
      <c r="H16" s="116"/>
      <c r="I16" s="116"/>
      <c r="J16" s="119"/>
      <c r="K16" s="31"/>
      <c r="L16" s="31"/>
      <c r="M16" s="120"/>
      <c r="N16" s="75"/>
      <c r="O16" s="75"/>
      <c r="P16" s="75"/>
    </row>
    <row r="17" spans="1:25" ht="15.6" x14ac:dyDescent="0.3">
      <c r="A17" s="113"/>
      <c r="B17" s="116"/>
      <c r="C17" s="115"/>
      <c r="D17" s="116"/>
      <c r="E17" s="116"/>
      <c r="F17" s="116"/>
      <c r="G17" s="116"/>
      <c r="H17" s="116"/>
      <c r="I17" s="116"/>
      <c r="J17" s="119"/>
      <c r="K17" s="31"/>
      <c r="L17" s="31"/>
      <c r="M17" s="120"/>
      <c r="N17" s="75"/>
      <c r="O17" s="75"/>
      <c r="P17" s="75"/>
      <c r="T17">
        <f>6356+19</f>
        <v>6375</v>
      </c>
    </row>
    <row r="18" spans="1:25" ht="16.2" thickBot="1" x14ac:dyDescent="0.35">
      <c r="A18" s="140"/>
      <c r="B18" s="141"/>
      <c r="C18" s="142"/>
      <c r="D18" s="143"/>
      <c r="E18" s="143"/>
      <c r="F18" s="143"/>
      <c r="G18" s="143"/>
      <c r="H18" s="143"/>
      <c r="I18" s="143"/>
      <c r="J18" s="144"/>
      <c r="K18" s="31"/>
      <c r="L18" s="31"/>
      <c r="M18" s="120"/>
      <c r="N18" s="75"/>
      <c r="O18" s="75"/>
      <c r="P18" s="75"/>
    </row>
    <row r="19" spans="1:25" ht="36" x14ac:dyDescent="0.3">
      <c r="C19" s="146" t="s">
        <v>156</v>
      </c>
      <c r="D19" s="147">
        <f>SUM(D4:D18)</f>
        <v>7867</v>
      </c>
      <c r="E19" s="73"/>
      <c r="F19" s="73">
        <f>SUM(F4:F13)</f>
        <v>3808</v>
      </c>
      <c r="G19" s="73"/>
      <c r="H19" s="73"/>
      <c r="I19" s="73">
        <f>SUM(I4:I11)</f>
        <v>2868</v>
      </c>
      <c r="J19" s="73"/>
      <c r="K19" s="147" t="s">
        <v>108</v>
      </c>
      <c r="L19" s="148">
        <f>SUM(L3:L18)</f>
        <v>120</v>
      </c>
      <c r="M19" s="30"/>
      <c r="N19" s="148">
        <f>SUM(N4:N12)</f>
        <v>6377</v>
      </c>
      <c r="O19" s="73"/>
      <c r="P19" s="148">
        <f>SUM(P4:P12)</f>
        <v>3220</v>
      </c>
      <c r="Q19" s="148">
        <f>SUM(Q4:Q12)</f>
        <v>3157</v>
      </c>
      <c r="T19">
        <v>3157</v>
      </c>
      <c r="U19" s="148">
        <f>U6+U12</f>
        <v>427</v>
      </c>
      <c r="W19" t="s">
        <v>157</v>
      </c>
      <c r="X19">
        <f>SUM(X4:X13)</f>
        <v>1797</v>
      </c>
      <c r="Y19" s="148">
        <f>SUM(Y6:Y13)</f>
        <v>0</v>
      </c>
    </row>
    <row r="20" spans="1:25" x14ac:dyDescent="0.3">
      <c r="L20" s="20"/>
      <c r="M20" s="20"/>
      <c r="N20" s="49"/>
      <c r="U20">
        <f>Q19-(T4+T5+T11+T12)</f>
        <v>427</v>
      </c>
    </row>
    <row r="21" spans="1:25" ht="21" x14ac:dyDescent="0.3">
      <c r="B21" s="149" t="s">
        <v>158</v>
      </c>
      <c r="C21" s="150"/>
      <c r="D21" s="151">
        <f>N21</f>
        <v>3157</v>
      </c>
      <c r="E21" s="152"/>
      <c r="L21" s="153" t="s">
        <v>159</v>
      </c>
      <c r="M21" s="154"/>
      <c r="N21" s="155">
        <f>N19-P19</f>
        <v>3157</v>
      </c>
      <c r="O21" s="154"/>
    </row>
    <row r="22" spans="1:25" x14ac:dyDescent="0.3">
      <c r="H22" t="s">
        <v>160</v>
      </c>
    </row>
    <row r="23" spans="1:25" x14ac:dyDescent="0.3">
      <c r="H23">
        <f>14441+6378+2865</f>
        <v>23684</v>
      </c>
    </row>
  </sheetData>
  <mergeCells count="25">
    <mergeCell ref="S2:S3"/>
    <mergeCell ref="T2:T3"/>
    <mergeCell ref="U2:U3"/>
    <mergeCell ref="W2:W3"/>
    <mergeCell ref="X2:X3"/>
    <mergeCell ref="B21:C21"/>
    <mergeCell ref="D21:E21"/>
    <mergeCell ref="L21:M21"/>
    <mergeCell ref="N21:O21"/>
    <mergeCell ref="K2:K3"/>
    <mergeCell ref="L2:L3"/>
    <mergeCell ref="N2:N3"/>
    <mergeCell ref="O2:O3"/>
    <mergeCell ref="P2:P3"/>
    <mergeCell ref="Q2:Q3"/>
    <mergeCell ref="A1:I1"/>
    <mergeCell ref="K1:L1"/>
    <mergeCell ref="O1:P1"/>
    <mergeCell ref="S1:T1"/>
    <mergeCell ref="W1:X1"/>
    <mergeCell ref="A2:A3"/>
    <mergeCell ref="B2:B3"/>
    <mergeCell ref="C2:D2"/>
    <mergeCell ref="E2:G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CFF4-3A2B-4952-A955-37DA4B6C0B6E}">
  <dimension ref="A1:L27"/>
  <sheetViews>
    <sheetView topLeftCell="A6" workbookViewId="0">
      <selection activeCell="L25" sqref="L25"/>
    </sheetView>
  </sheetViews>
  <sheetFormatPr baseColWidth="10" defaultRowHeight="14.4" x14ac:dyDescent="0.3"/>
  <cols>
    <col min="5" max="5" width="13.33203125" customWidth="1"/>
    <col min="7" max="7" width="14.33203125" customWidth="1"/>
  </cols>
  <sheetData>
    <row r="1" spans="1:12" ht="18" x14ac:dyDescent="0.3">
      <c r="C1" s="66" t="s">
        <v>79</v>
      </c>
      <c r="D1" s="66"/>
      <c r="E1" s="66"/>
      <c r="F1" s="66"/>
      <c r="G1" s="66"/>
      <c r="H1" s="66"/>
    </row>
    <row r="2" spans="1:12" ht="28.8" x14ac:dyDescent="0.3">
      <c r="A2" s="46" t="s">
        <v>80</v>
      </c>
      <c r="B2" s="46" t="s">
        <v>81</v>
      </c>
      <c r="C2" s="46" t="s">
        <v>82</v>
      </c>
      <c r="D2" s="46" t="s">
        <v>83</v>
      </c>
      <c r="E2" s="67" t="s">
        <v>84</v>
      </c>
      <c r="F2" s="68"/>
      <c r="G2" s="46" t="s">
        <v>85</v>
      </c>
      <c r="H2" s="46" t="s">
        <v>86</v>
      </c>
      <c r="I2" s="46" t="s">
        <v>87</v>
      </c>
      <c r="J2" s="46" t="s">
        <v>88</v>
      </c>
    </row>
    <row r="3" spans="1:12" ht="28.8" x14ac:dyDescent="0.3">
      <c r="A3" s="42">
        <v>1</v>
      </c>
      <c r="B3" s="38">
        <v>45883</v>
      </c>
      <c r="C3" s="42" t="s">
        <v>89</v>
      </c>
      <c r="D3" s="69" t="s">
        <v>90</v>
      </c>
      <c r="E3" s="42" t="s">
        <v>91</v>
      </c>
      <c r="F3" s="42">
        <f>750</f>
        <v>750</v>
      </c>
      <c r="G3" s="42" t="s">
        <v>92</v>
      </c>
      <c r="H3" s="42" t="s">
        <v>93</v>
      </c>
      <c r="I3" s="42" t="s">
        <v>94</v>
      </c>
      <c r="J3" s="42"/>
      <c r="L3" s="42"/>
    </row>
    <row r="4" spans="1:12" x14ac:dyDescent="0.3">
      <c r="A4" s="42">
        <v>2</v>
      </c>
      <c r="B4" s="38">
        <v>45848</v>
      </c>
      <c r="C4" s="42" t="s">
        <v>89</v>
      </c>
      <c r="D4" s="69">
        <v>21825</v>
      </c>
      <c r="E4" s="42" t="s">
        <v>95</v>
      </c>
      <c r="F4" s="42">
        <v>20</v>
      </c>
      <c r="G4" s="42" t="s">
        <v>96</v>
      </c>
      <c r="H4" s="42" t="s">
        <v>93</v>
      </c>
      <c r="I4" s="42" t="s">
        <v>94</v>
      </c>
      <c r="J4" s="42"/>
      <c r="L4" s="42"/>
    </row>
    <row r="5" spans="1:12" ht="28.8" x14ac:dyDescent="0.3">
      <c r="A5" s="42">
        <v>3</v>
      </c>
      <c r="B5" s="70">
        <v>45818</v>
      </c>
      <c r="C5" s="42" t="s">
        <v>89</v>
      </c>
      <c r="D5" s="69" t="s">
        <v>97</v>
      </c>
      <c r="E5" s="42" t="s">
        <v>98</v>
      </c>
      <c r="F5" s="42">
        <v>750</v>
      </c>
      <c r="G5" s="42" t="s">
        <v>99</v>
      </c>
      <c r="H5" s="42" t="s">
        <v>93</v>
      </c>
      <c r="I5" s="42" t="s">
        <v>94</v>
      </c>
      <c r="J5" s="42"/>
      <c r="L5" s="42"/>
    </row>
    <row r="6" spans="1:12" x14ac:dyDescent="0.3">
      <c r="A6" s="42">
        <v>4</v>
      </c>
      <c r="B6" s="70">
        <v>45883</v>
      </c>
      <c r="C6" s="42" t="s">
        <v>89</v>
      </c>
      <c r="D6" s="31">
        <v>50502</v>
      </c>
      <c r="E6" s="31" t="s">
        <v>100</v>
      </c>
      <c r="F6" s="31">
        <v>750</v>
      </c>
      <c r="G6" s="31" t="s">
        <v>101</v>
      </c>
      <c r="H6" s="42" t="s">
        <v>93</v>
      </c>
      <c r="I6" s="42" t="s">
        <v>94</v>
      </c>
      <c r="J6" s="31"/>
      <c r="L6" s="31"/>
    </row>
    <row r="7" spans="1:12" ht="43.2" x14ac:dyDescent="0.3">
      <c r="A7" s="42">
        <v>5</v>
      </c>
      <c r="B7" s="38">
        <v>45883</v>
      </c>
      <c r="C7" s="42" t="s">
        <v>89</v>
      </c>
      <c r="D7" s="69" t="s">
        <v>102</v>
      </c>
      <c r="E7" s="42" t="s">
        <v>103</v>
      </c>
      <c r="F7" s="31">
        <v>750</v>
      </c>
      <c r="G7" s="31" t="s">
        <v>104</v>
      </c>
      <c r="H7" s="42" t="s">
        <v>93</v>
      </c>
      <c r="I7" s="42" t="s">
        <v>94</v>
      </c>
      <c r="J7" s="31"/>
      <c r="L7" s="31"/>
    </row>
    <row r="8" spans="1:12" ht="28.8" x14ac:dyDescent="0.3">
      <c r="A8" s="42">
        <v>6</v>
      </c>
      <c r="B8" s="38">
        <v>45888</v>
      </c>
      <c r="C8" s="42" t="s">
        <v>89</v>
      </c>
      <c r="D8" s="69">
        <v>82415</v>
      </c>
      <c r="E8" s="42" t="s">
        <v>105</v>
      </c>
      <c r="F8" s="31">
        <v>200</v>
      </c>
      <c r="G8" s="31" t="s">
        <v>106</v>
      </c>
      <c r="H8" s="42" t="s">
        <v>93</v>
      </c>
      <c r="I8" s="42" t="s">
        <v>94</v>
      </c>
      <c r="J8" s="31"/>
      <c r="L8" s="31"/>
    </row>
    <row r="9" spans="1:12" x14ac:dyDescent="0.3">
      <c r="A9" s="45" t="s">
        <v>107</v>
      </c>
      <c r="B9" s="71">
        <v>45895</v>
      </c>
      <c r="C9" s="45"/>
      <c r="D9" s="72" t="s">
        <v>108</v>
      </c>
      <c r="E9" s="45"/>
      <c r="F9" s="73">
        <f>SUM(F3:F8)</f>
        <v>3220</v>
      </c>
      <c r="G9" s="73"/>
      <c r="H9" s="45"/>
      <c r="I9" s="73"/>
      <c r="J9" s="73"/>
    </row>
    <row r="10" spans="1:12" x14ac:dyDescent="0.3">
      <c r="A10" s="42">
        <v>7</v>
      </c>
      <c r="B10" s="74">
        <v>45906</v>
      </c>
      <c r="C10" s="75"/>
      <c r="D10" s="69">
        <v>11823</v>
      </c>
      <c r="E10" s="75" t="s">
        <v>109</v>
      </c>
      <c r="F10" s="31">
        <v>200</v>
      </c>
      <c r="G10" s="75" t="s">
        <v>110</v>
      </c>
      <c r="H10" s="42" t="s">
        <v>93</v>
      </c>
      <c r="I10" s="42" t="s">
        <v>94</v>
      </c>
      <c r="J10" s="75"/>
    </row>
    <row r="11" spans="1:12" x14ac:dyDescent="0.3">
      <c r="A11" s="42">
        <v>8</v>
      </c>
      <c r="B11" s="74">
        <v>45910</v>
      </c>
      <c r="C11" s="75"/>
      <c r="D11" s="69">
        <v>11823</v>
      </c>
      <c r="E11" s="75" t="s">
        <v>111</v>
      </c>
      <c r="F11" s="31">
        <v>300</v>
      </c>
      <c r="G11" s="75" t="s">
        <v>112</v>
      </c>
      <c r="H11" s="42" t="s">
        <v>93</v>
      </c>
      <c r="I11" s="42" t="s">
        <v>94</v>
      </c>
      <c r="J11" s="75"/>
    </row>
    <row r="12" spans="1:12" x14ac:dyDescent="0.3">
      <c r="A12" s="42">
        <v>9</v>
      </c>
      <c r="B12" s="74">
        <v>45915</v>
      </c>
      <c r="C12" s="75"/>
      <c r="D12" s="69">
        <v>11823</v>
      </c>
      <c r="E12" s="75" t="s">
        <v>111</v>
      </c>
      <c r="F12" s="31">
        <v>300</v>
      </c>
      <c r="G12" s="75" t="s">
        <v>113</v>
      </c>
      <c r="H12" s="42" t="s">
        <v>93</v>
      </c>
      <c r="I12" s="42" t="s">
        <v>94</v>
      </c>
      <c r="J12" s="75"/>
    </row>
    <row r="13" spans="1:12" x14ac:dyDescent="0.3">
      <c r="A13" s="42">
        <v>10</v>
      </c>
      <c r="B13" s="74">
        <v>45976</v>
      </c>
      <c r="C13" s="75"/>
      <c r="D13" s="69">
        <v>21825</v>
      </c>
      <c r="E13" s="75" t="s">
        <v>114</v>
      </c>
      <c r="F13" s="31">
        <v>210</v>
      </c>
      <c r="G13" s="75" t="s">
        <v>101</v>
      </c>
      <c r="H13" s="42" t="s">
        <v>93</v>
      </c>
      <c r="I13" s="42" t="s">
        <v>94</v>
      </c>
      <c r="J13" s="75"/>
    </row>
    <row r="14" spans="1:12" x14ac:dyDescent="0.3">
      <c r="A14" s="42">
        <v>11</v>
      </c>
      <c r="B14" s="76">
        <v>46031</v>
      </c>
      <c r="C14" s="77"/>
      <c r="D14" s="78">
        <v>82415</v>
      </c>
      <c r="E14" s="77" t="s">
        <v>111</v>
      </c>
      <c r="F14" s="79">
        <v>300</v>
      </c>
      <c r="G14" s="77" t="s">
        <v>110</v>
      </c>
      <c r="H14" s="42" t="s">
        <v>93</v>
      </c>
      <c r="I14" s="42" t="s">
        <v>94</v>
      </c>
      <c r="J14" s="77"/>
    </row>
    <row r="15" spans="1:12" x14ac:dyDescent="0.3">
      <c r="A15" s="42">
        <v>12</v>
      </c>
      <c r="B15" s="76">
        <v>46038</v>
      </c>
      <c r="C15" s="77"/>
      <c r="D15" s="78">
        <v>82415</v>
      </c>
      <c r="E15" s="77" t="s">
        <v>115</v>
      </c>
      <c r="F15" s="79">
        <v>500</v>
      </c>
      <c r="G15" s="77" t="s">
        <v>113</v>
      </c>
      <c r="H15" s="42" t="s">
        <v>93</v>
      </c>
      <c r="I15" s="42" t="s">
        <v>94</v>
      </c>
      <c r="J15" s="77"/>
    </row>
    <row r="16" spans="1:12" x14ac:dyDescent="0.3">
      <c r="A16" s="42">
        <v>13</v>
      </c>
      <c r="B16" s="76">
        <v>46048</v>
      </c>
      <c r="C16" s="77"/>
      <c r="D16" s="78">
        <v>82415</v>
      </c>
      <c r="E16" s="77" t="s">
        <v>116</v>
      </c>
      <c r="F16" s="79">
        <v>210</v>
      </c>
      <c r="G16" s="77" t="s">
        <v>117</v>
      </c>
      <c r="H16" s="42" t="s">
        <v>93</v>
      </c>
      <c r="I16" s="42" t="s">
        <v>94</v>
      </c>
      <c r="J16" s="77"/>
    </row>
    <row r="17" spans="1:12" x14ac:dyDescent="0.3">
      <c r="A17" s="42">
        <v>14</v>
      </c>
      <c r="B17" s="76">
        <v>46071</v>
      </c>
      <c r="C17" s="77"/>
      <c r="D17" s="78">
        <v>82415</v>
      </c>
      <c r="E17" s="77" t="s">
        <v>118</v>
      </c>
      <c r="F17" s="79">
        <v>200</v>
      </c>
      <c r="G17" s="77" t="s">
        <v>119</v>
      </c>
      <c r="H17" s="42" t="s">
        <v>93</v>
      </c>
      <c r="I17" s="42" t="s">
        <v>94</v>
      </c>
      <c r="J17" s="77"/>
    </row>
    <row r="18" spans="1:12" x14ac:dyDescent="0.3">
      <c r="A18" s="42">
        <v>15</v>
      </c>
      <c r="B18" s="76">
        <v>46072</v>
      </c>
      <c r="C18" s="77"/>
      <c r="D18" s="78">
        <v>82415</v>
      </c>
      <c r="E18" s="77" t="s">
        <v>120</v>
      </c>
      <c r="F18" s="79">
        <v>130</v>
      </c>
      <c r="G18" s="77" t="s">
        <v>112</v>
      </c>
      <c r="H18" s="42" t="s">
        <v>93</v>
      </c>
      <c r="I18" s="42" t="s">
        <v>94</v>
      </c>
      <c r="J18" s="77"/>
    </row>
    <row r="19" spans="1:12" ht="28.8" x14ac:dyDescent="0.3">
      <c r="A19" s="42">
        <v>16</v>
      </c>
      <c r="B19" s="80">
        <v>46074</v>
      </c>
      <c r="C19" s="81"/>
      <c r="D19" s="82">
        <v>90808</v>
      </c>
      <c r="E19" s="83" t="s">
        <v>121</v>
      </c>
      <c r="F19" s="84">
        <v>120</v>
      </c>
      <c r="G19" s="81" t="s">
        <v>122</v>
      </c>
      <c r="H19" s="42" t="s">
        <v>93</v>
      </c>
      <c r="I19" s="42" t="s">
        <v>94</v>
      </c>
      <c r="J19" s="81"/>
    </row>
    <row r="20" spans="1:12" ht="28.8" x14ac:dyDescent="0.3">
      <c r="A20" s="42">
        <v>17</v>
      </c>
      <c r="B20" s="80">
        <v>46076</v>
      </c>
      <c r="C20" s="81"/>
      <c r="D20" s="82">
        <v>90808</v>
      </c>
      <c r="E20" s="83" t="s">
        <v>123</v>
      </c>
      <c r="F20" s="84">
        <v>160</v>
      </c>
      <c r="G20" s="81" t="s">
        <v>124</v>
      </c>
      <c r="H20" s="42" t="s">
        <v>93</v>
      </c>
      <c r="I20" s="42" t="s">
        <v>94</v>
      </c>
      <c r="J20" s="81"/>
      <c r="L20">
        <f>SUM(F10:F21)</f>
        <v>2730</v>
      </c>
    </row>
    <row r="21" spans="1:12" ht="28.8" x14ac:dyDescent="0.3">
      <c r="A21" s="42">
        <v>18</v>
      </c>
      <c r="B21" s="80">
        <v>46095</v>
      </c>
      <c r="C21" s="81"/>
      <c r="D21" s="82">
        <v>90808</v>
      </c>
      <c r="E21" s="83" t="s">
        <v>125</v>
      </c>
      <c r="F21" s="84">
        <v>100</v>
      </c>
      <c r="G21" s="81" t="s">
        <v>113</v>
      </c>
      <c r="H21" s="42" t="s">
        <v>93</v>
      </c>
      <c r="I21" s="42" t="s">
        <v>94</v>
      </c>
      <c r="J21" s="81"/>
    </row>
    <row r="22" spans="1:12" x14ac:dyDescent="0.3">
      <c r="A22" s="85">
        <v>18</v>
      </c>
      <c r="B22" s="86">
        <v>46168</v>
      </c>
      <c r="C22" s="87"/>
      <c r="D22" s="88">
        <v>90808</v>
      </c>
      <c r="E22" s="89" t="s">
        <v>126</v>
      </c>
      <c r="F22" s="90">
        <v>6</v>
      </c>
      <c r="G22" s="87" t="s">
        <v>127</v>
      </c>
      <c r="H22" s="85" t="s">
        <v>93</v>
      </c>
      <c r="I22" s="42" t="s">
        <v>94</v>
      </c>
      <c r="J22" s="75"/>
    </row>
    <row r="23" spans="1:12" x14ac:dyDescent="0.3">
      <c r="A23" s="85"/>
      <c r="B23" s="87"/>
      <c r="C23" s="87"/>
      <c r="D23" s="88"/>
      <c r="E23" s="89" t="s">
        <v>128</v>
      </c>
      <c r="F23" s="90">
        <v>19</v>
      </c>
      <c r="G23" s="87"/>
      <c r="H23" s="85"/>
      <c r="I23" s="42" t="s">
        <v>94</v>
      </c>
      <c r="J23" s="75"/>
    </row>
    <row r="24" spans="1:12" x14ac:dyDescent="0.3">
      <c r="A24" s="85">
        <v>18</v>
      </c>
      <c r="B24" s="86">
        <v>46164</v>
      </c>
      <c r="C24" s="87"/>
      <c r="D24" s="88">
        <v>30808</v>
      </c>
      <c r="E24" s="89" t="s">
        <v>129</v>
      </c>
      <c r="F24" s="90">
        <v>1</v>
      </c>
      <c r="G24" s="87" t="s">
        <v>130</v>
      </c>
      <c r="H24" s="85" t="s">
        <v>93</v>
      </c>
      <c r="I24" s="42" t="s">
        <v>94</v>
      </c>
      <c r="J24" s="75"/>
    </row>
    <row r="25" spans="1:12" x14ac:dyDescent="0.3">
      <c r="A25" s="85"/>
      <c r="B25" s="87"/>
      <c r="C25" s="87"/>
      <c r="D25" s="88"/>
      <c r="E25" s="89" t="s">
        <v>131</v>
      </c>
      <c r="F25" s="90">
        <v>2</v>
      </c>
      <c r="G25" s="87"/>
      <c r="H25" s="85"/>
      <c r="I25" s="42" t="s">
        <v>94</v>
      </c>
      <c r="J25" s="75"/>
    </row>
    <row r="26" spans="1:12" x14ac:dyDescent="0.3">
      <c r="A26" s="85">
        <v>18</v>
      </c>
      <c r="B26" s="86">
        <v>46222</v>
      </c>
      <c r="C26" s="87"/>
      <c r="D26" s="91">
        <v>100106</v>
      </c>
      <c r="E26" s="45" t="s">
        <v>132</v>
      </c>
      <c r="F26" s="45">
        <f>25+1</f>
        <v>26</v>
      </c>
      <c r="G26" s="87" t="s">
        <v>133</v>
      </c>
      <c r="H26" s="85" t="s">
        <v>93</v>
      </c>
      <c r="I26" s="42" t="s">
        <v>94</v>
      </c>
      <c r="J26" s="75"/>
    </row>
    <row r="27" spans="1:12" x14ac:dyDescent="0.3">
      <c r="A27" s="85"/>
      <c r="B27" s="87"/>
      <c r="C27" s="87"/>
      <c r="D27" s="91"/>
      <c r="E27" s="45" t="s">
        <v>134</v>
      </c>
      <c r="F27" s="45">
        <f>15+14+29+1</f>
        <v>59</v>
      </c>
      <c r="G27" s="87"/>
      <c r="H27" s="85"/>
      <c r="I27" s="42" t="s">
        <v>94</v>
      </c>
      <c r="J27" s="75"/>
    </row>
  </sheetData>
  <mergeCells count="20">
    <mergeCell ref="A26:A27"/>
    <mergeCell ref="B26:B27"/>
    <mergeCell ref="C26:C27"/>
    <mergeCell ref="D26:D27"/>
    <mergeCell ref="G26:G27"/>
    <mergeCell ref="H26:H27"/>
    <mergeCell ref="A24:A25"/>
    <mergeCell ref="B24:B25"/>
    <mergeCell ref="C24:C25"/>
    <mergeCell ref="D24:D25"/>
    <mergeCell ref="G24:G25"/>
    <mergeCell ref="H24:H25"/>
    <mergeCell ref="C1:H1"/>
    <mergeCell ref="E2:F2"/>
    <mergeCell ref="A22:A23"/>
    <mergeCell ref="B22:B23"/>
    <mergeCell ref="C22:C23"/>
    <mergeCell ref="D22:D23"/>
    <mergeCell ref="G22:G23"/>
    <mergeCell ref="H22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02A1-CCD0-4230-A6E4-779875D6CAEB}">
  <dimension ref="A1:J26"/>
  <sheetViews>
    <sheetView tabSelected="1" workbookViewId="0">
      <selection activeCell="K24" sqref="K24"/>
    </sheetView>
  </sheetViews>
  <sheetFormatPr baseColWidth="10" defaultRowHeight="14.4" x14ac:dyDescent="0.3"/>
  <sheetData>
    <row r="1" spans="1:10" ht="24" thickBot="1" x14ac:dyDescent="0.35">
      <c r="A1" s="156" t="s">
        <v>161</v>
      </c>
      <c r="B1" s="156"/>
      <c r="C1" s="156"/>
      <c r="D1" s="156"/>
      <c r="E1" s="156"/>
      <c r="F1" s="156"/>
      <c r="G1" s="156"/>
      <c r="H1" s="156"/>
      <c r="I1" s="156"/>
      <c r="J1" s="156"/>
    </row>
    <row r="2" spans="1:10" ht="29.4" thickTop="1" x14ac:dyDescent="0.3">
      <c r="A2" s="157" t="s">
        <v>1</v>
      </c>
      <c r="B2" s="158" t="s">
        <v>162</v>
      </c>
      <c r="C2" s="158" t="s">
        <v>163</v>
      </c>
      <c r="D2" s="158" t="s">
        <v>164</v>
      </c>
      <c r="E2" s="158" t="s">
        <v>165</v>
      </c>
      <c r="F2" s="158" t="s">
        <v>166</v>
      </c>
      <c r="G2" s="158" t="s">
        <v>167</v>
      </c>
      <c r="H2" s="158" t="s">
        <v>84</v>
      </c>
      <c r="I2" s="158" t="s">
        <v>168</v>
      </c>
      <c r="J2" s="159" t="s">
        <v>169</v>
      </c>
    </row>
    <row r="3" spans="1:10" x14ac:dyDescent="0.3">
      <c r="A3" s="160">
        <v>45557</v>
      </c>
      <c r="B3" s="161" t="s">
        <v>170</v>
      </c>
      <c r="C3" s="162">
        <v>11823</v>
      </c>
      <c r="D3" s="161">
        <v>3</v>
      </c>
      <c r="E3" s="161">
        <v>10</v>
      </c>
      <c r="F3" s="161">
        <v>80</v>
      </c>
      <c r="G3" s="161">
        <f>F3*E3</f>
        <v>800</v>
      </c>
      <c r="H3" s="161">
        <v>800</v>
      </c>
      <c r="I3" s="161">
        <f>G3-H3-S3</f>
        <v>0</v>
      </c>
      <c r="J3" s="163"/>
    </row>
    <row r="4" spans="1:10" x14ac:dyDescent="0.3">
      <c r="A4" s="164">
        <v>45558</v>
      </c>
      <c r="B4" s="165" t="s">
        <v>170</v>
      </c>
      <c r="C4" s="166">
        <v>21825</v>
      </c>
      <c r="D4" s="165">
        <v>3</v>
      </c>
      <c r="E4" s="165">
        <v>10</v>
      </c>
      <c r="F4" s="165">
        <v>21</v>
      </c>
      <c r="G4" s="167">
        <f>F4*E4</f>
        <v>210</v>
      </c>
      <c r="H4" s="165">
        <v>210</v>
      </c>
      <c r="I4" s="167">
        <f>800-H4</f>
        <v>590</v>
      </c>
      <c r="J4" s="168"/>
    </row>
    <row r="5" spans="1:10" x14ac:dyDescent="0.3">
      <c r="A5" s="164">
        <v>45558</v>
      </c>
      <c r="B5" s="165" t="s">
        <v>170</v>
      </c>
      <c r="C5" s="166">
        <v>21825</v>
      </c>
      <c r="D5" s="165">
        <v>3</v>
      </c>
      <c r="E5" s="165">
        <v>30</v>
      </c>
      <c r="F5" s="165">
        <v>19</v>
      </c>
      <c r="G5" s="167">
        <f>F5*E5</f>
        <v>570</v>
      </c>
      <c r="H5" s="165">
        <v>570</v>
      </c>
      <c r="I5" s="167">
        <f>I4-H5</f>
        <v>20</v>
      </c>
      <c r="J5" s="168"/>
    </row>
    <row r="6" spans="1:10" x14ac:dyDescent="0.3">
      <c r="A6" s="164">
        <v>45559</v>
      </c>
      <c r="B6" s="165" t="s">
        <v>170</v>
      </c>
      <c r="C6" s="166">
        <v>21825</v>
      </c>
      <c r="D6" s="165">
        <v>3</v>
      </c>
      <c r="E6" s="165">
        <v>10</v>
      </c>
      <c r="F6" s="165">
        <v>2</v>
      </c>
      <c r="G6" s="167">
        <v>20</v>
      </c>
      <c r="H6" s="165">
        <v>20</v>
      </c>
      <c r="I6" s="167">
        <f>I5-H6</f>
        <v>0</v>
      </c>
      <c r="J6" s="168"/>
    </row>
    <row r="7" spans="1:10" x14ac:dyDescent="0.3">
      <c r="A7" s="169">
        <v>45559</v>
      </c>
      <c r="B7" s="170" t="s">
        <v>170</v>
      </c>
      <c r="C7" s="171">
        <v>30808</v>
      </c>
      <c r="D7" s="170">
        <v>3</v>
      </c>
      <c r="E7" s="170">
        <v>55</v>
      </c>
      <c r="F7" s="170">
        <v>1</v>
      </c>
      <c r="G7" s="172">
        <f t="shared" ref="G7:G11" si="0">F7*E7</f>
        <v>55</v>
      </c>
      <c r="H7" s="170">
        <v>0</v>
      </c>
      <c r="I7" s="172">
        <f t="shared" ref="I7:I17" si="1">G7-H7</f>
        <v>55</v>
      </c>
      <c r="J7" s="173"/>
    </row>
    <row r="8" spans="1:10" x14ac:dyDescent="0.3">
      <c r="A8" s="164">
        <v>45672</v>
      </c>
      <c r="B8" s="165" t="s">
        <v>170</v>
      </c>
      <c r="C8" s="166">
        <v>42505</v>
      </c>
      <c r="D8" s="165">
        <v>3</v>
      </c>
      <c r="E8" s="165">
        <v>30</v>
      </c>
      <c r="F8" s="165">
        <v>28</v>
      </c>
      <c r="G8" s="167">
        <f t="shared" si="0"/>
        <v>840</v>
      </c>
      <c r="H8" s="165">
        <v>840</v>
      </c>
      <c r="I8" s="167">
        <f t="shared" si="1"/>
        <v>0</v>
      </c>
      <c r="J8" s="168"/>
    </row>
    <row r="9" spans="1:10" x14ac:dyDescent="0.3">
      <c r="A9" s="174">
        <v>45757</v>
      </c>
      <c r="B9" s="175" t="s">
        <v>170</v>
      </c>
      <c r="C9" s="176">
        <v>50502</v>
      </c>
      <c r="D9" s="175">
        <v>3</v>
      </c>
      <c r="E9" s="175">
        <v>30</v>
      </c>
      <c r="F9" s="175">
        <v>32</v>
      </c>
      <c r="G9" s="177">
        <f t="shared" si="0"/>
        <v>960</v>
      </c>
      <c r="H9" s="175">
        <v>960</v>
      </c>
      <c r="I9" s="177">
        <f t="shared" si="1"/>
        <v>0</v>
      </c>
      <c r="J9" s="178"/>
    </row>
    <row r="10" spans="1:10" x14ac:dyDescent="0.3">
      <c r="A10" s="164">
        <v>45750</v>
      </c>
      <c r="B10" s="165" t="s">
        <v>170</v>
      </c>
      <c r="C10" s="166">
        <v>61803</v>
      </c>
      <c r="D10" s="165">
        <v>3</v>
      </c>
      <c r="E10" s="165">
        <v>30</v>
      </c>
      <c r="F10" s="165">
        <v>7</v>
      </c>
      <c r="G10" s="167">
        <f t="shared" si="0"/>
        <v>210</v>
      </c>
      <c r="H10" s="165">
        <v>210</v>
      </c>
      <c r="I10" s="167">
        <f t="shared" si="1"/>
        <v>0</v>
      </c>
      <c r="J10" s="168"/>
    </row>
    <row r="11" spans="1:10" x14ac:dyDescent="0.3">
      <c r="A11" s="179">
        <v>45762</v>
      </c>
      <c r="B11" s="180" t="s">
        <v>170</v>
      </c>
      <c r="C11" s="181">
        <v>70324</v>
      </c>
      <c r="D11" s="180">
        <v>3</v>
      </c>
      <c r="E11" s="180">
        <v>30</v>
      </c>
      <c r="F11" s="180">
        <v>14</v>
      </c>
      <c r="G11" s="161">
        <f t="shared" si="0"/>
        <v>420</v>
      </c>
      <c r="H11" s="180">
        <v>420</v>
      </c>
      <c r="I11" s="161">
        <f t="shared" si="1"/>
        <v>0</v>
      </c>
      <c r="J11" s="182"/>
    </row>
    <row r="12" spans="1:10" x14ac:dyDescent="0.3">
      <c r="A12" s="174">
        <v>45781</v>
      </c>
      <c r="B12" s="170" t="s">
        <v>170</v>
      </c>
      <c r="C12" s="176">
        <v>82415</v>
      </c>
      <c r="D12" s="175">
        <v>3</v>
      </c>
      <c r="E12" s="175">
        <v>30</v>
      </c>
      <c r="F12" s="175">
        <v>4</v>
      </c>
      <c r="G12" s="183">
        <v>1660</v>
      </c>
      <c r="H12" s="177">
        <v>120</v>
      </c>
      <c r="I12" s="161">
        <f>G12-H12</f>
        <v>1540</v>
      </c>
      <c r="J12" s="178"/>
    </row>
    <row r="13" spans="1:10" x14ac:dyDescent="0.3">
      <c r="A13" s="174">
        <v>45888</v>
      </c>
      <c r="B13" s="170" t="s">
        <v>170</v>
      </c>
      <c r="C13" s="176">
        <v>82415</v>
      </c>
      <c r="D13" s="175">
        <v>3</v>
      </c>
      <c r="E13" s="175">
        <v>10</v>
      </c>
      <c r="F13" s="175">
        <v>20</v>
      </c>
      <c r="G13" s="184">
        <f>I12</f>
        <v>1540</v>
      </c>
      <c r="H13" s="177">
        <v>200</v>
      </c>
      <c r="I13" s="161">
        <f>G13-H13</f>
        <v>1340</v>
      </c>
      <c r="J13" s="178"/>
    </row>
    <row r="14" spans="1:10" x14ac:dyDescent="0.3">
      <c r="A14" s="174">
        <v>46023</v>
      </c>
      <c r="B14" s="170" t="s">
        <v>170</v>
      </c>
      <c r="C14" s="176">
        <v>82415</v>
      </c>
      <c r="D14" s="175">
        <v>3</v>
      </c>
      <c r="E14" s="175">
        <v>10</v>
      </c>
      <c r="F14" s="175">
        <v>134</v>
      </c>
      <c r="G14" s="184">
        <f>I13</f>
        <v>1340</v>
      </c>
      <c r="H14" s="185">
        <v>1340</v>
      </c>
      <c r="I14" s="161">
        <f>G14-H14</f>
        <v>0</v>
      </c>
      <c r="J14" s="178"/>
    </row>
    <row r="15" spans="1:10" ht="15.6" x14ac:dyDescent="0.3">
      <c r="A15" s="164">
        <v>46054</v>
      </c>
      <c r="B15" s="165" t="s">
        <v>170</v>
      </c>
      <c r="C15" s="166">
        <v>90808</v>
      </c>
      <c r="D15" s="165">
        <v>3</v>
      </c>
      <c r="E15" s="165">
        <v>30</v>
      </c>
      <c r="F15" s="165">
        <v>10</v>
      </c>
      <c r="G15" s="186">
        <f>10*30</f>
        <v>300</v>
      </c>
      <c r="H15" s="187">
        <v>300</v>
      </c>
      <c r="I15" s="161">
        <f>752-H15</f>
        <v>452</v>
      </c>
      <c r="J15" s="168"/>
    </row>
    <row r="16" spans="1:10" ht="15.6" x14ac:dyDescent="0.3">
      <c r="A16" s="164">
        <v>46054</v>
      </c>
      <c r="B16" s="165" t="s">
        <v>170</v>
      </c>
      <c r="C16" s="166">
        <v>90808</v>
      </c>
      <c r="D16" s="165">
        <v>3</v>
      </c>
      <c r="E16" s="165">
        <v>10</v>
      </c>
      <c r="F16" s="165">
        <v>8</v>
      </c>
      <c r="G16" s="186">
        <f>8*10</f>
        <v>80</v>
      </c>
      <c r="H16" s="187">
        <v>80</v>
      </c>
      <c r="I16" s="161">
        <f>I15-H16</f>
        <v>372</v>
      </c>
      <c r="J16" s="168"/>
    </row>
    <row r="17" spans="1:10" x14ac:dyDescent="0.3">
      <c r="A17" s="164">
        <v>46065</v>
      </c>
      <c r="B17" s="165" t="s">
        <v>170</v>
      </c>
      <c r="C17" s="166">
        <v>90808</v>
      </c>
      <c r="D17" s="165">
        <v>3</v>
      </c>
      <c r="E17" s="165">
        <v>1000</v>
      </c>
      <c r="F17" s="166">
        <v>1</v>
      </c>
      <c r="G17" s="188">
        <v>372</v>
      </c>
      <c r="H17" s="166">
        <v>0</v>
      </c>
      <c r="I17" s="161">
        <f t="shared" si="1"/>
        <v>372</v>
      </c>
      <c r="J17" s="166"/>
    </row>
    <row r="18" spans="1:10" x14ac:dyDescent="0.3">
      <c r="A18" s="164">
        <v>46119</v>
      </c>
      <c r="B18" s="165" t="s">
        <v>170</v>
      </c>
      <c r="C18" s="166">
        <v>90808</v>
      </c>
      <c r="D18" s="165">
        <v>3</v>
      </c>
      <c r="E18" s="165">
        <v>30</v>
      </c>
      <c r="F18" s="166">
        <v>6</v>
      </c>
      <c r="G18" s="189">
        <f>E18*F18</f>
        <v>180</v>
      </c>
      <c r="H18" s="166"/>
      <c r="I18" s="190">
        <f>I17-G18</f>
        <v>192</v>
      </c>
      <c r="J18" s="191"/>
    </row>
    <row r="19" spans="1:10" x14ac:dyDescent="0.3">
      <c r="A19" s="164">
        <v>46120</v>
      </c>
      <c r="B19" s="165" t="s">
        <v>170</v>
      </c>
      <c r="C19" s="166">
        <v>90808</v>
      </c>
      <c r="D19" s="165">
        <v>3</v>
      </c>
      <c r="E19" s="165">
        <v>10</v>
      </c>
      <c r="F19" s="166">
        <v>19</v>
      </c>
      <c r="G19" s="189">
        <f>E19*F19</f>
        <v>190</v>
      </c>
      <c r="H19" s="166"/>
      <c r="I19" s="187">
        <v>0</v>
      </c>
      <c r="J19" s="191" t="s">
        <v>171</v>
      </c>
    </row>
    <row r="20" spans="1:10" x14ac:dyDescent="0.3">
      <c r="A20" s="192">
        <v>46151</v>
      </c>
      <c r="B20" s="165" t="s">
        <v>170</v>
      </c>
      <c r="C20" s="193">
        <v>30808</v>
      </c>
      <c r="D20" s="165">
        <v>3</v>
      </c>
      <c r="E20" s="194">
        <v>30</v>
      </c>
      <c r="F20" s="193">
        <v>1</v>
      </c>
      <c r="G20" s="195">
        <v>30</v>
      </c>
      <c r="H20" s="193"/>
      <c r="I20" s="195">
        <f>I7-G20</f>
        <v>25</v>
      </c>
      <c r="J20" s="196"/>
    </row>
    <row r="21" spans="1:10" x14ac:dyDescent="0.3">
      <c r="A21" s="192">
        <v>46151</v>
      </c>
      <c r="B21" s="165" t="s">
        <v>170</v>
      </c>
      <c r="C21" s="193">
        <v>30808</v>
      </c>
      <c r="D21" s="165">
        <v>3</v>
      </c>
      <c r="E21" s="197">
        <v>10</v>
      </c>
      <c r="F21" s="198">
        <v>2</v>
      </c>
      <c r="G21" s="199">
        <v>20</v>
      </c>
      <c r="H21" s="198"/>
      <c r="I21" s="199">
        <v>0</v>
      </c>
      <c r="J21" s="200" t="s">
        <v>172</v>
      </c>
    </row>
    <row r="22" spans="1:10" x14ac:dyDescent="0.3">
      <c r="A22" s="192">
        <v>46152</v>
      </c>
      <c r="B22" s="165" t="s">
        <v>170</v>
      </c>
      <c r="C22" s="201">
        <v>100106</v>
      </c>
      <c r="D22" s="165">
        <v>3</v>
      </c>
      <c r="E22" s="202">
        <v>30</v>
      </c>
      <c r="F22" s="202">
        <f>25+1</f>
        <v>26</v>
      </c>
      <c r="G22" s="202"/>
      <c r="H22" s="202">
        <v>19</v>
      </c>
      <c r="I22" s="202">
        <f>1370-F22*E22</f>
        <v>590</v>
      </c>
      <c r="J22" s="202"/>
    </row>
    <row r="23" spans="1:10" x14ac:dyDescent="0.3">
      <c r="A23" s="192">
        <v>46153</v>
      </c>
      <c r="B23" s="165" t="s">
        <v>170</v>
      </c>
      <c r="C23" s="201">
        <v>100106</v>
      </c>
      <c r="D23" s="165">
        <v>3</v>
      </c>
      <c r="E23" s="202">
        <v>10</v>
      </c>
      <c r="F23" s="202">
        <f>15+14+29+1</f>
        <v>59</v>
      </c>
      <c r="G23" s="203"/>
      <c r="H23" s="203">
        <v>51</v>
      </c>
      <c r="I23" s="203">
        <f>I22-F23*E23</f>
        <v>0</v>
      </c>
      <c r="J23" s="203"/>
    </row>
    <row r="26" spans="1:10" x14ac:dyDescent="0.3">
      <c r="F26">
        <f>F18*E18+F19*E19+F20*E20+F21*E21+F22*E22+F23*E23</f>
        <v>1790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registre de press</vt:lpstr>
      <vt:lpstr>registre filtration</vt:lpstr>
      <vt:lpstr>registre melange</vt:lpstr>
      <vt:lpstr>mouvement</vt:lpstr>
      <vt:lpstr>registre de stock Produit finie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abdeljawed satouri</dc:creator>
  <cp:lastModifiedBy>abdeljawed satouri</cp:lastModifiedBy>
  <dcterms:created xsi:type="dcterms:W3CDTF">2026-10-11T11:11:31Z</dcterms:created>
  <dcterms:modified xsi:type="dcterms:W3CDTF">2026-10-11T18:17:04Z</dcterms:modified>
</cp:coreProperties>
</file>